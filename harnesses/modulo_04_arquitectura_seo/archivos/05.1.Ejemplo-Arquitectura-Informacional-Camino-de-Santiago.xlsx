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javiermartinezgarcia/Downloads/"/>
    </mc:Choice>
  </mc:AlternateContent>
  <xr:revisionPtr revIDLastSave="0" documentId="13_ncr:1_{7413D591-C79D-4049-AA65-42109216671A}" xr6:coauthVersionLast="46" xr6:coauthVersionMax="46" xr10:uidLastSave="{00000000-0000-0000-0000-000000000000}"/>
  <bookViews>
    <workbookView xWindow="0" yWindow="500" windowWidth="38400" windowHeight="21100" xr2:uid="{00000000-000D-0000-FFFF-FFFF00000000}"/>
  </bookViews>
  <sheets>
    <sheet name="Vertic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9" i="1" l="1"/>
  <c r="F165" i="1"/>
  <c r="H152" i="1"/>
  <c r="H145" i="1"/>
  <c r="H138" i="1"/>
  <c r="H133" i="1"/>
  <c r="H126" i="1"/>
  <c r="F122" i="1"/>
  <c r="F108" i="1"/>
  <c r="F103" i="1"/>
  <c r="F97" i="1"/>
  <c r="F89" i="1"/>
  <c r="F83" i="1"/>
  <c r="F74" i="1"/>
  <c r="F64" i="1"/>
  <c r="F57" i="1"/>
  <c r="F48" i="1"/>
  <c r="F40" i="1"/>
  <c r="F33" i="1"/>
  <c r="F27" i="1"/>
  <c r="F21" i="1"/>
  <c r="D14" i="1"/>
  <c r="B11" i="1"/>
</calcChain>
</file>

<file path=xl/sharedStrings.xml><?xml version="1.0" encoding="utf-8"?>
<sst xmlns="http://schemas.openxmlformats.org/spreadsheetml/2006/main" count="250" uniqueCount="145">
  <si>
    <t>Búsquedas</t>
  </si>
  <si>
    <t>2 Nivel</t>
  </si>
  <si>
    <t>3 Nivel</t>
  </si>
  <si>
    <t>/home</t>
  </si>
  <si>
    <t>agencia camino de santiago</t>
  </si>
  <si>
    <t>H1 - Keyword Principal</t>
  </si>
  <si>
    <t>agencia de viajes camino de santiago</t>
  </si>
  <si>
    <t>H2 - Keywords de Oportunidad</t>
  </si>
  <si>
    <t>agencia camino santiago</t>
  </si>
  <si>
    <t>agencia organizadora del camino de santiago</t>
  </si>
  <si>
    <t>agencias para hacer el camino de santiago</t>
  </si>
  <si>
    <t>agencias que organizan el camino de santiago</t>
  </si>
  <si>
    <t>camino de santiago agencia viajes</t>
  </si>
  <si>
    <t>camino de santiago por agencia</t>
  </si>
  <si>
    <t>TOTAL</t>
  </si>
  <si>
    <t>/camino-santiago</t>
  </si>
  <si>
    <t>Todo informacion</t>
  </si>
  <si>
    <t>camino de santiago</t>
  </si>
  <si>
    <t>/historia-camino-santiago</t>
  </si>
  <si>
    <t>historia del camino de santiago</t>
  </si>
  <si>
    <t>camino de santiago historia</t>
  </si>
  <si>
    <t>el camino de santiago historia</t>
  </si>
  <si>
    <t>origen del camino de santiago</t>
  </si>
  <si>
    <t>/como-llegar-puntos-inicio-camino</t>
  </si>
  <si>
    <t>inicio camino de santiago</t>
  </si>
  <si>
    <t>inicio camino de santiago frances</t>
  </si>
  <si>
    <t>inicio camino de santiago portugues</t>
  </si>
  <si>
    <t>/bordon-peregrino</t>
  </si>
  <si>
    <t>bordon peregrino</t>
  </si>
  <si>
    <t>bordon del peregrino</t>
  </si>
  <si>
    <t>bordon de peregrino</t>
  </si>
  <si>
    <t>/como-llegar-a-galicia</t>
  </si>
  <si>
    <t>como llegar a galicia</t>
  </si>
  <si>
    <t>como ir a galicia</t>
  </si>
  <si>
    <t>como viajar a galicia</t>
  </si>
  <si>
    <t>como llegar a galicia en tren</t>
  </si>
  <si>
    <t>/ano-jubilar</t>
  </si>
  <si>
    <t>año jubilar</t>
  </si>
  <si>
    <t>año jubilar que es</t>
  </si>
  <si>
    <t>año jubilar compostelano</t>
  </si>
  <si>
    <t>años de jubileo</t>
  </si>
  <si>
    <t>año jubilar significado</t>
  </si>
  <si>
    <t>/asociaciones-amigos-camino-santiago</t>
  </si>
  <si>
    <t>asociaciones de amigos del camino de santiago</t>
  </si>
  <si>
    <t>asociaciones camino de santiago</t>
  </si>
  <si>
    <t>camino de santiago asociaciones</t>
  </si>
  <si>
    <t>federación española de asociaciones de amigos del camino de santiago</t>
  </si>
  <si>
    <t>asociaciones camino santiago</t>
  </si>
  <si>
    <t>federacion de asociaciones de amigos del camino de santiago</t>
  </si>
  <si>
    <t>/credencial-peregrino</t>
  </si>
  <si>
    <t>credencial peregrino</t>
  </si>
  <si>
    <t>credencial camino de santiago</t>
  </si>
  <si>
    <t>conseguir compostelana</t>
  </si>
  <si>
    <t>carnet de peregrino</t>
  </si>
  <si>
    <t>/santiago-apostol</t>
  </si>
  <si>
    <t>santiago apostol</t>
  </si>
  <si>
    <t>apostol santiago</t>
  </si>
  <si>
    <t>santiago el mayor</t>
  </si>
  <si>
    <t>santiago el menor</t>
  </si>
  <si>
    <t>dia de santiago apostol</t>
  </si>
  <si>
    <t>historia de santiago apostol</t>
  </si>
  <si>
    <t>historia de santiago apostol para niños</t>
  </si>
  <si>
    <t>/catedral-de-santiago</t>
  </si>
  <si>
    <t>catedral de santiago de compostela</t>
  </si>
  <si>
    <t>catedral de santiago interior</t>
  </si>
  <si>
    <t>catedral de santiago de compostela planta</t>
  </si>
  <si>
    <t>catedral de santiago por dentro</t>
  </si>
  <si>
    <t>catedral de santiago de compostela caracteristicas</t>
  </si>
  <si>
    <t>historia de la catedral de santiago de compostela</t>
  </si>
  <si>
    <t>/el-botafumeiro</t>
  </si>
  <si>
    <t>botafumeiro</t>
  </si>
  <si>
    <t>botafumeiro santiago</t>
  </si>
  <si>
    <t>botafumeiros santiago de compostela</t>
  </si>
  <si>
    <t>/consejos-camino</t>
  </si>
  <si>
    <t>consejos camino de santiago</t>
  </si>
  <si>
    <t>consejos camino de santiago desde sarria</t>
  </si>
  <si>
    <t>camino de santiago en bici consejos</t>
  </si>
  <si>
    <t>camino de santiago a caballo consejos</t>
  </si>
  <si>
    <t>camino de santiago a pie consejos</t>
  </si>
  <si>
    <t>/codice-calixtino</t>
  </si>
  <si>
    <t>codice calixtino</t>
  </si>
  <si>
    <t>codex calixtinus</t>
  </si>
  <si>
    <t>el codice calixtino</t>
  </si>
  <si>
    <t>/senalizacion-camino</t>
  </si>
  <si>
    <t>señalizacion camino de santiago</t>
  </si>
  <si>
    <t>señalizacion camino santiago</t>
  </si>
  <si>
    <t>camino de santiago portugues desde tui</t>
  </si>
  <si>
    <t>/caminos</t>
  </si>
  <si>
    <t>info diferentes caminos que disponemos</t>
  </si>
  <si>
    <t>diferentes caminos de santiago</t>
  </si>
  <si>
    <t>/camino-frances</t>
  </si>
  <si>
    <t>camino de santiago frances</t>
  </si>
  <si>
    <t>camino frances de santiago</t>
  </si>
  <si>
    <t>camino frances etapas</t>
  </si>
  <si>
    <t>etapas del camino frances</t>
  </si>
  <si>
    <t>mapa camino de santiago frances</t>
  </si>
  <si>
    <t>mapa del camino frances de santiago</t>
  </si>
  <si>
    <t>albergues camino frances</t>
  </si>
  <si>
    <t>albergues del camino frances</t>
  </si>
  <si>
    <t>/llegada-sarria</t>
  </si>
  <si>
    <t>llegada a sarria</t>
  </si>
  <si>
    <t>albergue en sarria camino de santiago</t>
  </si>
  <si>
    <t>/de-sarria-a-portomarin</t>
  </si>
  <si>
    <t>camino de santiago sarria portomarin</t>
  </si>
  <si>
    <t>camino santiago sarria portomarin</t>
  </si>
  <si>
    <t>hotel en portomarin camino de santiago</t>
  </si>
  <si>
    <t>donde dormir en portomarin camino de santiago</t>
  </si>
  <si>
    <t>/de-portomarin-a-palas-de-rei</t>
  </si>
  <si>
    <t>camino de santiago portomarin palas de rei</t>
  </si>
  <si>
    <t>hoteles en palas de rei camino de santiago</t>
  </si>
  <si>
    <t>/de-palas-de-rei-a-arzua</t>
  </si>
  <si>
    <t>camino de santiago palas de rei arzua</t>
  </si>
  <si>
    <t>alojamiento en arzua camino de santiago</t>
  </si>
  <si>
    <t>albergue arzua camino santiago</t>
  </si>
  <si>
    <t>hoteles en arzua camino de santiago</t>
  </si>
  <si>
    <t>/de-arzua-a-o-pedrouzo</t>
  </si>
  <si>
    <t>camino de santiago arzua predrouzo</t>
  </si>
  <si>
    <t>hoteles en pedrouzo camino de santiago</t>
  </si>
  <si>
    <t>albergue pedrouzo camino santiago</t>
  </si>
  <si>
    <t>albergues pedrouzo santiago</t>
  </si>
  <si>
    <t>/de-o-pedrouzo-a-santiago</t>
  </si>
  <si>
    <t>camino de santiago predrouzo santiago</t>
  </si>
  <si>
    <t>/camino-portugues</t>
  </si>
  <si>
    <t>camino de santiago portugues</t>
  </si>
  <si>
    <t>camino de santiago portugues etapas</t>
  </si>
  <si>
    <t>ruta camino de santiago portugues</t>
  </si>
  <si>
    <t>albergues camino portugues</t>
  </si>
  <si>
    <t>mapa camino de santiago portugues</t>
  </si>
  <si>
    <t>/llegada-tui</t>
  </si>
  <si>
    <t>llegada a tui</t>
  </si>
  <si>
    <t>albergue en tui camino de santiago</t>
  </si>
  <si>
    <t>/de-tui-a-o-porrino</t>
  </si>
  <si>
    <t>camino de santiago tui porrino</t>
  </si>
  <si>
    <t>/de-porrino-a-redondela</t>
  </si>
  <si>
    <t>camino de santiago porrino redondela</t>
  </si>
  <si>
    <t>/de-redondela-a-pontevedra</t>
  </si>
  <si>
    <t>camino de santiago redondela pontevedra</t>
  </si>
  <si>
    <t>hostales pontevedra ciudad baratos</t>
  </si>
  <si>
    <t>/de-pontevedra-a-caldas-de-reis</t>
  </si>
  <si>
    <t>camino de santiago pontevedra caldas de reis</t>
  </si>
  <si>
    <t>/de-caldas-de-reis-a-padron</t>
  </si>
  <si>
    <t>camino de santiago caldas de reis padron</t>
  </si>
  <si>
    <t>/de-padron-a-santiago</t>
  </si>
  <si>
    <t>camino de santiago padron santiago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</si>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</sst>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name val="Calibri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C5E0B3"/>
        <bgColor rgb="FFC5E0B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0" xfId="0" applyFont="1"/>
    <xf numFmtId="0" fontId="1" fillId="3" borderId="0" xfId="0" applyFont="1" applyFill="1" applyAlignment="1"/>
    <xf numFmtId="0" fontId="1" fillId="3" borderId="0" xfId="0" applyFont="1" applyFill="1"/>
    <xf numFmtId="0" fontId="3" fillId="0" borderId="0" xfId="0" applyFont="1" applyAlignment="1"/>
    <xf numFmtId="3" fontId="3" fillId="0" borderId="0" xfId="0" applyNumberFormat="1" applyFont="1" applyAlignment="1">
      <alignment horizontal="right"/>
    </xf>
    <xf numFmtId="0" fontId="4" fillId="0" borderId="0" xfId="0" applyFont="1" applyAlignment="1"/>
    <xf numFmtId="0" fontId="4" fillId="0" borderId="0" xfId="0" applyFont="1"/>
    <xf numFmtId="0" fontId="2" fillId="0" borderId="0" xfId="0" applyFont="1" applyAlignment="1"/>
    <xf numFmtId="0" fontId="2" fillId="4" borderId="0" xfId="0" applyFont="1" applyFill="1" applyAlignment="1"/>
    <xf numFmtId="0" fontId="2" fillId="4" borderId="0" xfId="0" applyFont="1" applyFill="1"/>
    <xf numFmtId="0" fontId="1" fillId="0" borderId="0" xfId="0" applyFont="1" applyAlignment="1"/>
    <xf numFmtId="0" fontId="1" fillId="0" borderId="0" xfId="0" applyFont="1"/>
    <xf numFmtId="3" fontId="2" fillId="4" borderId="0" xfId="0" applyNumberFormat="1" applyFont="1" applyFill="1"/>
    <xf numFmtId="0" fontId="3" fillId="0" borderId="0" xfId="0" applyFont="1" applyAlignment="1"/>
    <xf numFmtId="0" fontId="3" fillId="5" borderId="0" xfId="0" applyFont="1" applyFill="1" applyAlignment="1"/>
    <xf numFmtId="0" fontId="1" fillId="0" borderId="0" xfId="0" applyFont="1"/>
    <xf numFmtId="0" fontId="3" fillId="0" borderId="0" xfId="0" applyFont="1" applyAlignment="1"/>
    <xf numFmtId="0" fontId="1" fillId="3" borderId="0" xfId="0" applyFont="1" applyFill="1"/>
    <xf numFmtId="3" fontId="3" fillId="0" borderId="0" xfId="0" applyNumberFormat="1" applyFont="1" applyAlignment="1">
      <alignment horizontal="right"/>
    </xf>
    <xf numFmtId="3" fontId="2" fillId="4" borderId="0" xfId="0" applyNumberFormat="1" applyFont="1" applyFill="1" applyAlignment="1"/>
    <xf numFmtId="0" fontId="5" fillId="0" borderId="0" xfId="0" applyFont="1" applyAlignment="1"/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94"/>
  <sheetViews>
    <sheetView tabSelected="1" workbookViewId="0">
      <selection activeCell="H1" sqref="H1"/>
    </sheetView>
  </sheetViews>
  <sheetFormatPr baseColWidth="10" defaultColWidth="14.5" defaultRowHeight="15.75" customHeight="1" x14ac:dyDescent="0.15"/>
  <cols>
    <col min="1" max="1" width="43.83203125" customWidth="1"/>
    <col min="2" max="2" width="11.5" customWidth="1"/>
    <col min="3" max="3" width="59.5" customWidth="1"/>
    <col min="4" max="4" width="22" customWidth="1"/>
    <col min="5" max="5" width="59.5" customWidth="1"/>
    <col min="6" max="6" width="13.6640625" customWidth="1"/>
    <col min="7" max="7" width="54.83203125" customWidth="1"/>
    <col min="9" max="9" width="46.33203125" customWidth="1"/>
  </cols>
  <sheetData>
    <row r="1" spans="1:26" x14ac:dyDescent="0.2">
      <c r="A1" s="1"/>
      <c r="B1" s="2" t="s">
        <v>0</v>
      </c>
      <c r="C1" s="3" t="s">
        <v>1</v>
      </c>
      <c r="D1" s="3" t="s">
        <v>0</v>
      </c>
      <c r="E1" s="3" t="s">
        <v>2</v>
      </c>
      <c r="F1" s="3" t="s">
        <v>0</v>
      </c>
      <c r="G1" s="4" t="s">
        <v>144</v>
      </c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6" t="s">
        <v>3</v>
      </c>
      <c r="B2" s="7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8" t="s">
        <v>4</v>
      </c>
      <c r="B3" s="9">
        <v>140</v>
      </c>
      <c r="C3" s="10" t="s">
        <v>5</v>
      </c>
      <c r="D3" s="1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8" t="s">
        <v>6</v>
      </c>
      <c r="B4" s="9">
        <v>70</v>
      </c>
      <c r="C4" s="10" t="s">
        <v>7</v>
      </c>
      <c r="D4" s="1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8" t="s">
        <v>8</v>
      </c>
      <c r="B5" s="9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8" t="s">
        <v>9</v>
      </c>
      <c r="B6" s="9">
        <v>10</v>
      </c>
      <c r="C6" s="12" t="s">
        <v>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8" t="s">
        <v>10</v>
      </c>
      <c r="B7" s="9">
        <v>10</v>
      </c>
      <c r="C7" s="12" t="s">
        <v>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8" t="s">
        <v>11</v>
      </c>
      <c r="B8" s="9">
        <v>10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8" t="s">
        <v>12</v>
      </c>
      <c r="B9" s="9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8" t="s">
        <v>13</v>
      </c>
      <c r="B10" s="9">
        <v>10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13" t="s">
        <v>14</v>
      </c>
      <c r="B11" s="14">
        <f>SUM(B2:B10)</f>
        <v>270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5"/>
      <c r="B12" s="5"/>
      <c r="C12" s="19" t="s">
        <v>15</v>
      </c>
      <c r="D12" s="6" t="s">
        <v>16</v>
      </c>
      <c r="E12" s="5"/>
      <c r="F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5"/>
      <c r="B13" s="5"/>
      <c r="C13" s="8" t="s">
        <v>17</v>
      </c>
      <c r="D13" s="9">
        <v>74000</v>
      </c>
      <c r="E13" s="12" t="s">
        <v>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5"/>
      <c r="B14" s="5"/>
      <c r="C14" s="13" t="s">
        <v>14</v>
      </c>
      <c r="D14" s="17">
        <f>SUM(D13)</f>
        <v>74000</v>
      </c>
      <c r="E14" s="5"/>
      <c r="F14" s="5"/>
      <c r="G14" s="5"/>
      <c r="H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5"/>
      <c r="B15" s="5"/>
      <c r="C15" s="5"/>
      <c r="D15" s="5"/>
      <c r="E15" s="20"/>
      <c r="F15" s="16"/>
      <c r="G15" s="5"/>
      <c r="H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5"/>
      <c r="B16" s="5"/>
      <c r="C16" s="5"/>
      <c r="D16" s="5"/>
      <c r="E16" s="6" t="s">
        <v>18</v>
      </c>
      <c r="F16" s="7"/>
      <c r="G16" s="5"/>
      <c r="H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5"/>
      <c r="B17" s="5"/>
      <c r="C17" s="5"/>
      <c r="D17" s="5"/>
      <c r="E17" s="8" t="s">
        <v>19</v>
      </c>
      <c r="F17" s="9">
        <v>1300</v>
      </c>
      <c r="G17" s="12" t="s">
        <v>5</v>
      </c>
      <c r="H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5"/>
      <c r="B18" s="5"/>
      <c r="C18" s="5"/>
      <c r="D18" s="5"/>
      <c r="E18" s="8" t="s">
        <v>20</v>
      </c>
      <c r="F18" s="9">
        <v>1300</v>
      </c>
      <c r="G18" s="5"/>
      <c r="H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/>
      <c r="B19" s="5"/>
      <c r="C19" s="5"/>
      <c r="D19" s="5"/>
      <c r="E19" s="8" t="s">
        <v>21</v>
      </c>
      <c r="F19" s="9">
        <v>1300</v>
      </c>
      <c r="G19" s="5"/>
      <c r="H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5"/>
      <c r="B20" s="5"/>
      <c r="C20" s="5"/>
      <c r="D20" s="5"/>
      <c r="E20" s="8" t="s">
        <v>22</v>
      </c>
      <c r="F20" s="9">
        <v>1000</v>
      </c>
      <c r="G20" s="12" t="s">
        <v>7</v>
      </c>
      <c r="H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5"/>
      <c r="B21" s="5"/>
      <c r="C21" s="5"/>
      <c r="D21" s="5"/>
      <c r="E21" s="13" t="s">
        <v>14</v>
      </c>
      <c r="F21" s="14">
        <f>SUM(F16:F20)</f>
        <v>4900</v>
      </c>
      <c r="G21" s="5"/>
      <c r="H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5"/>
      <c r="B22" s="5"/>
      <c r="C22" s="5"/>
      <c r="D22" s="5"/>
      <c r="E22" s="5"/>
      <c r="F22" s="5"/>
      <c r="G22" s="5"/>
      <c r="H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5"/>
      <c r="B23" s="5"/>
      <c r="C23" s="5"/>
      <c r="D23" s="5"/>
      <c r="E23" s="6" t="s">
        <v>23</v>
      </c>
      <c r="F23" s="7"/>
      <c r="G23" s="5"/>
      <c r="H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5"/>
      <c r="B24" s="5"/>
      <c r="C24" s="5"/>
      <c r="D24" s="5"/>
      <c r="E24" s="21" t="s">
        <v>24</v>
      </c>
      <c r="F24" s="9">
        <v>170</v>
      </c>
      <c r="G24" s="12" t="s">
        <v>5</v>
      </c>
      <c r="H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5"/>
      <c r="B25" s="5"/>
      <c r="C25" s="5"/>
      <c r="D25" s="5"/>
      <c r="E25" s="21" t="s">
        <v>25</v>
      </c>
      <c r="F25" s="9">
        <v>20</v>
      </c>
      <c r="G25" s="12" t="s">
        <v>7</v>
      </c>
      <c r="H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5"/>
      <c r="B26" s="5"/>
      <c r="C26" s="5"/>
      <c r="D26" s="5"/>
      <c r="E26" s="18" t="s">
        <v>26</v>
      </c>
      <c r="F26" s="9">
        <v>20</v>
      </c>
      <c r="G26" s="12" t="s">
        <v>7</v>
      </c>
      <c r="H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5"/>
      <c r="B27" s="5"/>
      <c r="C27" s="5"/>
      <c r="D27" s="5"/>
      <c r="E27" s="13" t="s">
        <v>14</v>
      </c>
      <c r="F27" s="14">
        <f>SUM(F22:F26)</f>
        <v>210</v>
      </c>
      <c r="G27" s="5"/>
      <c r="H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5"/>
      <c r="B29" s="5"/>
      <c r="C29" s="5"/>
      <c r="D29" s="5"/>
      <c r="E29" s="6" t="s">
        <v>27</v>
      </c>
      <c r="F29" s="7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5"/>
      <c r="B30" s="5"/>
      <c r="C30" s="5"/>
      <c r="D30" s="5"/>
      <c r="E30" s="8" t="s">
        <v>28</v>
      </c>
      <c r="F30" s="9">
        <v>90</v>
      </c>
      <c r="G30" s="12" t="s">
        <v>5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5"/>
      <c r="B31" s="5"/>
      <c r="C31" s="5"/>
      <c r="D31" s="5"/>
      <c r="E31" s="8" t="s">
        <v>29</v>
      </c>
      <c r="F31" s="9">
        <v>10</v>
      </c>
      <c r="G31" s="12" t="s">
        <v>7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5"/>
      <c r="B32" s="5"/>
      <c r="C32" s="5"/>
      <c r="D32" s="5"/>
      <c r="E32" s="8" t="s">
        <v>30</v>
      </c>
      <c r="F32" s="9">
        <v>40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5"/>
      <c r="B33" s="5"/>
      <c r="C33" s="5"/>
      <c r="D33" s="5"/>
      <c r="E33" s="13" t="s">
        <v>14</v>
      </c>
      <c r="F33" s="14">
        <f>SUM(F28:F32)</f>
        <v>140</v>
      </c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5"/>
      <c r="B34" s="5"/>
      <c r="C34" s="5"/>
      <c r="D34" s="5"/>
      <c r="E34" s="5"/>
      <c r="F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5"/>
      <c r="B35" s="5"/>
      <c r="C35" s="5"/>
      <c r="D35" s="5"/>
      <c r="E35" s="22" t="s">
        <v>31</v>
      </c>
      <c r="F35" s="7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5"/>
      <c r="B36" s="5"/>
      <c r="C36" s="5"/>
      <c r="D36" s="5"/>
      <c r="E36" s="8" t="s">
        <v>32</v>
      </c>
      <c r="F36" s="9">
        <v>210</v>
      </c>
      <c r="G36" s="12" t="s">
        <v>5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5"/>
      <c r="B37" s="5"/>
      <c r="C37" s="5"/>
      <c r="D37" s="5"/>
      <c r="E37" s="8" t="s">
        <v>33</v>
      </c>
      <c r="F37" s="9">
        <v>50</v>
      </c>
      <c r="G37" s="12" t="s">
        <v>7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5"/>
      <c r="B38" s="5"/>
      <c r="C38" s="5"/>
      <c r="D38" s="5"/>
      <c r="E38" s="8" t="s">
        <v>34</v>
      </c>
      <c r="F38" s="9">
        <v>20</v>
      </c>
      <c r="G38" s="12" t="s">
        <v>7</v>
      </c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5"/>
      <c r="B39" s="5"/>
      <c r="C39" s="5"/>
      <c r="D39" s="5"/>
      <c r="E39" s="8" t="s">
        <v>35</v>
      </c>
      <c r="F39" s="9">
        <v>10</v>
      </c>
      <c r="G39" s="12" t="s">
        <v>7</v>
      </c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5"/>
      <c r="B40" s="5"/>
      <c r="C40" s="5"/>
      <c r="D40" s="5"/>
      <c r="E40" s="13" t="s">
        <v>14</v>
      </c>
      <c r="F40" s="17">
        <f>SUM(F36:F39)</f>
        <v>290</v>
      </c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5"/>
      <c r="B41" s="5"/>
      <c r="C41" s="5"/>
      <c r="D41" s="5"/>
      <c r="E41" s="5"/>
      <c r="F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5"/>
      <c r="B42" s="5"/>
      <c r="C42" s="5"/>
      <c r="D42" s="5"/>
      <c r="E42" s="6" t="s">
        <v>36</v>
      </c>
      <c r="F42" s="7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5"/>
      <c r="B43" s="5"/>
      <c r="C43" s="5"/>
      <c r="D43" s="5"/>
      <c r="E43" s="8" t="s">
        <v>37</v>
      </c>
      <c r="F43" s="9">
        <v>720</v>
      </c>
      <c r="G43" s="12" t="s">
        <v>5</v>
      </c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5"/>
      <c r="B44" s="5"/>
      <c r="C44" s="5"/>
      <c r="D44" s="5"/>
      <c r="E44" s="8" t="s">
        <v>38</v>
      </c>
      <c r="F44" s="9">
        <v>140</v>
      </c>
      <c r="G44" s="12" t="s">
        <v>7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5"/>
      <c r="B45" s="5"/>
      <c r="C45" s="5"/>
      <c r="D45" s="5"/>
      <c r="E45" s="8" t="s">
        <v>39</v>
      </c>
      <c r="F45" s="9">
        <v>30</v>
      </c>
      <c r="G45" s="12" t="s">
        <v>7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5"/>
      <c r="B46" s="5"/>
      <c r="C46" s="5"/>
      <c r="D46" s="5"/>
      <c r="E46" s="8" t="s">
        <v>40</v>
      </c>
      <c r="F46" s="9">
        <v>30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5"/>
      <c r="B47" s="5"/>
      <c r="C47" s="5"/>
      <c r="D47" s="5"/>
      <c r="E47" s="8" t="s">
        <v>41</v>
      </c>
      <c r="F47" s="9">
        <v>20</v>
      </c>
      <c r="G47" s="12" t="s">
        <v>7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5"/>
      <c r="B48" s="5"/>
      <c r="C48" s="5"/>
      <c r="D48" s="5"/>
      <c r="E48" s="13" t="s">
        <v>14</v>
      </c>
      <c r="F48" s="17">
        <f>SUM(F43:F47)</f>
        <v>940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5"/>
      <c r="B49" s="5"/>
      <c r="C49" s="5"/>
      <c r="D49" s="5"/>
      <c r="E49" s="5"/>
      <c r="F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5"/>
      <c r="B50" s="5"/>
      <c r="C50" s="5"/>
      <c r="D50" s="5"/>
      <c r="E50" s="6" t="s">
        <v>42</v>
      </c>
      <c r="F50" s="7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5"/>
      <c r="B51" s="5"/>
      <c r="C51" s="5"/>
      <c r="D51" s="5"/>
      <c r="E51" s="8" t="s">
        <v>43</v>
      </c>
      <c r="F51" s="9">
        <v>480</v>
      </c>
      <c r="G51" s="12" t="s">
        <v>5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5"/>
      <c r="B52" s="5"/>
      <c r="C52" s="5"/>
      <c r="D52" s="5"/>
      <c r="E52" s="8" t="s">
        <v>44</v>
      </c>
      <c r="F52" s="9">
        <v>140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5"/>
      <c r="B53" s="5"/>
      <c r="C53" s="5"/>
      <c r="D53" s="5"/>
      <c r="E53" s="8" t="s">
        <v>45</v>
      </c>
      <c r="F53" s="9">
        <v>140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5"/>
      <c r="B54" s="5"/>
      <c r="C54" s="5"/>
      <c r="D54" s="5"/>
      <c r="E54" s="8" t="s">
        <v>46</v>
      </c>
      <c r="F54" s="9">
        <v>50</v>
      </c>
      <c r="G54" s="12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5"/>
      <c r="B55" s="5"/>
      <c r="C55" s="5"/>
      <c r="D55" s="5"/>
      <c r="E55" s="8" t="s">
        <v>47</v>
      </c>
      <c r="F55" s="9">
        <v>10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5"/>
      <c r="B56" s="5"/>
      <c r="C56" s="5"/>
      <c r="D56" s="5"/>
      <c r="E56" s="8" t="s">
        <v>48</v>
      </c>
      <c r="F56" s="9">
        <v>10</v>
      </c>
      <c r="G56" s="12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5"/>
      <c r="B57" s="5"/>
      <c r="C57" s="5"/>
      <c r="D57" s="5"/>
      <c r="E57" s="13" t="s">
        <v>14</v>
      </c>
      <c r="F57" s="17">
        <f>SUM(F51:F56)</f>
        <v>830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5"/>
      <c r="B58" s="5"/>
      <c r="C58" s="5"/>
      <c r="D58" s="5"/>
      <c r="E58" s="5"/>
      <c r="F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5"/>
      <c r="B59" s="5"/>
      <c r="C59" s="5"/>
      <c r="D59" s="5"/>
      <c r="E59" s="6" t="s">
        <v>49</v>
      </c>
      <c r="F59" s="7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5"/>
      <c r="B60" s="5"/>
      <c r="C60" s="5"/>
      <c r="D60" s="5"/>
      <c r="E60" s="8" t="s">
        <v>50</v>
      </c>
      <c r="F60" s="9">
        <v>720</v>
      </c>
      <c r="G60" s="12" t="s">
        <v>5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5"/>
      <c r="B61" s="5"/>
      <c r="C61" s="5"/>
      <c r="D61" s="5"/>
      <c r="E61" s="8" t="s">
        <v>51</v>
      </c>
      <c r="F61" s="9">
        <v>590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5"/>
      <c r="B62" s="5"/>
      <c r="C62" s="5"/>
      <c r="D62" s="5"/>
      <c r="E62" s="8" t="s">
        <v>52</v>
      </c>
      <c r="F62" s="9">
        <v>90</v>
      </c>
      <c r="G62" s="12" t="s">
        <v>7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5"/>
      <c r="B63" s="5"/>
      <c r="C63" s="5"/>
      <c r="D63" s="5"/>
      <c r="E63" s="8" t="s">
        <v>53</v>
      </c>
      <c r="F63" s="9">
        <v>30</v>
      </c>
      <c r="G63" s="12" t="s">
        <v>7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5"/>
      <c r="B64" s="5"/>
      <c r="C64" s="5"/>
      <c r="D64" s="5"/>
      <c r="E64" s="13" t="s">
        <v>14</v>
      </c>
      <c r="F64" s="14">
        <f>SUM(F58:F63)</f>
        <v>1430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5"/>
      <c r="B65" s="5"/>
      <c r="C65" s="5"/>
      <c r="D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5"/>
      <c r="B66" s="5"/>
      <c r="C66" s="5"/>
      <c r="D66" s="5"/>
      <c r="E66" s="22" t="s">
        <v>54</v>
      </c>
      <c r="F66" s="7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5"/>
      <c r="B67" s="5"/>
      <c r="C67" s="5"/>
      <c r="D67" s="5"/>
      <c r="E67" s="8" t="s">
        <v>55</v>
      </c>
      <c r="F67" s="9">
        <v>8100</v>
      </c>
      <c r="G67" s="12" t="s">
        <v>5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5"/>
      <c r="B68" s="5"/>
      <c r="C68" s="5"/>
      <c r="D68" s="5"/>
      <c r="E68" s="8" t="s">
        <v>56</v>
      </c>
      <c r="F68" s="9">
        <v>2900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5"/>
      <c r="B69" s="5"/>
      <c r="C69" s="5"/>
      <c r="D69" s="5"/>
      <c r="E69" s="8" t="s">
        <v>57</v>
      </c>
      <c r="F69" s="9">
        <v>1600</v>
      </c>
      <c r="G69" s="12" t="s">
        <v>7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5"/>
      <c r="B70" s="5"/>
      <c r="C70" s="5"/>
      <c r="D70" s="5"/>
      <c r="E70" s="8" t="s">
        <v>58</v>
      </c>
      <c r="F70" s="9">
        <v>390</v>
      </c>
      <c r="G70" s="12" t="s">
        <v>7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5"/>
      <c r="B71" s="5"/>
      <c r="C71" s="5"/>
      <c r="D71" s="5"/>
      <c r="E71" s="8" t="s">
        <v>59</v>
      </c>
      <c r="F71" s="9">
        <v>390</v>
      </c>
      <c r="G71" s="12" t="s">
        <v>7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5"/>
      <c r="B72" s="5"/>
      <c r="C72" s="5"/>
      <c r="D72" s="5"/>
      <c r="E72" s="8" t="s">
        <v>60</v>
      </c>
      <c r="F72" s="9">
        <v>110</v>
      </c>
      <c r="G72" s="12" t="s">
        <v>7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5"/>
      <c r="B73" s="5"/>
      <c r="C73" s="5"/>
      <c r="D73" s="5"/>
      <c r="E73" s="8" t="s">
        <v>61</v>
      </c>
      <c r="F73" s="9">
        <v>30</v>
      </c>
      <c r="G73" s="12" t="s">
        <v>7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5"/>
      <c r="B74" s="5"/>
      <c r="C74" s="5"/>
      <c r="D74" s="5"/>
      <c r="E74" s="13" t="s">
        <v>14</v>
      </c>
      <c r="F74" s="17">
        <f>SUM(F67:F73)</f>
        <v>13520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5"/>
      <c r="B75" s="5"/>
      <c r="C75" s="5"/>
      <c r="D75" s="5"/>
      <c r="E75" s="5"/>
      <c r="F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5"/>
      <c r="B76" s="5"/>
      <c r="C76" s="5"/>
      <c r="D76" s="5"/>
      <c r="E76" s="6" t="s">
        <v>62</v>
      </c>
      <c r="F76" s="7"/>
      <c r="H76" s="20"/>
      <c r="I76" s="1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5"/>
      <c r="B77" s="5"/>
      <c r="C77" s="5"/>
      <c r="D77" s="5"/>
      <c r="E77" s="8" t="s">
        <v>63</v>
      </c>
      <c r="F77" s="9">
        <v>14800</v>
      </c>
      <c r="G77" s="12" t="s">
        <v>5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5"/>
      <c r="B78" s="5"/>
      <c r="C78" s="5"/>
      <c r="D78" s="5"/>
      <c r="E78" s="8" t="s">
        <v>64</v>
      </c>
      <c r="F78" s="9">
        <v>260</v>
      </c>
      <c r="G78" s="12" t="s">
        <v>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5"/>
      <c r="B79" s="5"/>
      <c r="C79" s="5"/>
      <c r="D79" s="5"/>
      <c r="E79" s="8" t="s">
        <v>65</v>
      </c>
      <c r="F79" s="9">
        <v>210</v>
      </c>
      <c r="G79" s="12" t="s">
        <v>7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5"/>
      <c r="B80" s="5"/>
      <c r="C80" s="5"/>
      <c r="D80" s="5"/>
      <c r="E80" s="8" t="s">
        <v>66</v>
      </c>
      <c r="F80" s="9">
        <v>90</v>
      </c>
      <c r="G80" s="12" t="s">
        <v>7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5"/>
      <c r="B81" s="5"/>
      <c r="C81" s="5"/>
      <c r="D81" s="5"/>
      <c r="E81" s="8" t="s">
        <v>67</v>
      </c>
      <c r="F81" s="9">
        <v>70</v>
      </c>
      <c r="G81" s="12" t="s">
        <v>7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5"/>
      <c r="B82" s="5"/>
      <c r="C82" s="5"/>
      <c r="D82" s="5"/>
      <c r="E82" s="8" t="s">
        <v>68</v>
      </c>
      <c r="F82" s="9">
        <v>70</v>
      </c>
      <c r="G82" s="12" t="s">
        <v>7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5"/>
      <c r="B83" s="5"/>
      <c r="C83" s="5"/>
      <c r="D83" s="5"/>
      <c r="E83" s="13" t="s">
        <v>14</v>
      </c>
      <c r="F83" s="14">
        <f>SUM(F76:F82)</f>
        <v>15500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5"/>
      <c r="B84" s="5"/>
      <c r="C84" s="5"/>
      <c r="D84" s="5"/>
      <c r="E84" s="5"/>
      <c r="F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5"/>
      <c r="B85" s="5"/>
      <c r="C85" s="5"/>
      <c r="D85" s="5"/>
      <c r="E85" s="22" t="s">
        <v>69</v>
      </c>
      <c r="F85" s="7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5"/>
      <c r="B86" s="5"/>
      <c r="C86" s="5"/>
      <c r="D86" s="5"/>
      <c r="E86" s="12" t="s">
        <v>70</v>
      </c>
      <c r="F86" s="12">
        <v>9900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5"/>
      <c r="B87" s="5"/>
      <c r="C87" s="5"/>
      <c r="D87" s="5"/>
      <c r="E87" s="12" t="s">
        <v>71</v>
      </c>
      <c r="F87" s="12">
        <v>720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5"/>
      <c r="B88" s="5"/>
      <c r="C88" s="5"/>
      <c r="D88" s="5"/>
      <c r="E88" s="12" t="s">
        <v>72</v>
      </c>
      <c r="F88" s="12">
        <v>170</v>
      </c>
      <c r="G88" s="12" t="s">
        <v>5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5"/>
      <c r="B89" s="5"/>
      <c r="C89" s="5"/>
      <c r="D89" s="5"/>
      <c r="E89" s="13" t="s">
        <v>14</v>
      </c>
      <c r="F89" s="14">
        <f>SUM(F86:F88)</f>
        <v>10790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5"/>
      <c r="B90" s="5"/>
      <c r="C90" s="5"/>
      <c r="D90" s="5"/>
      <c r="E90" s="20"/>
      <c r="F90" s="1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5"/>
      <c r="B91" s="5"/>
      <c r="C91" s="5"/>
      <c r="D91" s="5"/>
      <c r="E91" s="6" t="s">
        <v>73</v>
      </c>
      <c r="F91" s="7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5"/>
      <c r="B92" s="5"/>
      <c r="C92" s="5"/>
      <c r="D92" s="5"/>
      <c r="E92" s="18" t="s">
        <v>74</v>
      </c>
      <c r="F92" s="23">
        <v>150</v>
      </c>
      <c r="G92" s="12" t="s">
        <v>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5"/>
      <c r="B93" s="5"/>
      <c r="C93" s="5"/>
      <c r="D93" s="5"/>
      <c r="E93" s="8" t="s">
        <v>75</v>
      </c>
      <c r="F93" s="9">
        <v>40</v>
      </c>
      <c r="G93" s="12" t="s">
        <v>7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5"/>
      <c r="B94" s="5"/>
      <c r="C94" s="5"/>
      <c r="D94" s="5"/>
      <c r="E94" s="8" t="s">
        <v>76</v>
      </c>
      <c r="F94" s="9">
        <v>20</v>
      </c>
      <c r="G94" s="12" t="s">
        <v>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5"/>
      <c r="B95" s="5"/>
      <c r="C95" s="5"/>
      <c r="D95" s="5"/>
      <c r="E95" s="8" t="s">
        <v>77</v>
      </c>
      <c r="F95" s="9">
        <v>10</v>
      </c>
      <c r="G95" s="12" t="s">
        <v>7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5"/>
      <c r="B96" s="5"/>
      <c r="C96" s="5"/>
      <c r="D96" s="5"/>
      <c r="E96" s="8" t="s">
        <v>78</v>
      </c>
      <c r="F96" s="9">
        <v>10</v>
      </c>
      <c r="G96" s="12" t="s">
        <v>7</v>
      </c>
      <c r="H96" s="20"/>
      <c r="I96" s="1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5"/>
      <c r="B97" s="5"/>
      <c r="C97" s="5"/>
      <c r="D97" s="5"/>
      <c r="E97" s="13" t="s">
        <v>14</v>
      </c>
      <c r="F97" s="17">
        <f>SUM(F92:F96)</f>
        <v>230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5"/>
      <c r="B98" s="5"/>
      <c r="C98" s="5"/>
      <c r="D98" s="5"/>
      <c r="E98" s="5"/>
      <c r="F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5"/>
      <c r="B99" s="5"/>
      <c r="C99" s="5"/>
      <c r="D99" s="5"/>
      <c r="E99" s="6" t="s">
        <v>79</v>
      </c>
      <c r="F99" s="7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5"/>
      <c r="B100" s="5"/>
      <c r="C100" s="5"/>
      <c r="D100" s="5"/>
      <c r="E100" s="8" t="s">
        <v>80</v>
      </c>
      <c r="F100" s="9">
        <v>1600</v>
      </c>
      <c r="G100" s="12" t="s">
        <v>5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5"/>
      <c r="B101" s="5"/>
      <c r="C101" s="5"/>
      <c r="D101" s="5"/>
      <c r="E101" s="8" t="s">
        <v>81</v>
      </c>
      <c r="F101" s="9">
        <v>720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5"/>
      <c r="B102" s="5"/>
      <c r="C102" s="5"/>
      <c r="D102" s="5"/>
      <c r="E102" s="8" t="s">
        <v>82</v>
      </c>
      <c r="F102" s="9">
        <v>140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5"/>
      <c r="B103" s="5"/>
      <c r="C103" s="5"/>
      <c r="D103" s="5"/>
      <c r="E103" s="13" t="s">
        <v>14</v>
      </c>
      <c r="F103" s="14">
        <f>SUM(F98:F102)</f>
        <v>2460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5"/>
      <c r="B104" s="5"/>
      <c r="C104" s="5"/>
      <c r="D104" s="5"/>
      <c r="E104" s="5"/>
      <c r="F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5"/>
      <c r="B105" s="5"/>
      <c r="C105" s="5"/>
      <c r="D105" s="5"/>
      <c r="E105" s="6" t="s">
        <v>83</v>
      </c>
      <c r="F105" s="7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5"/>
      <c r="B106" s="5"/>
      <c r="C106" s="5"/>
      <c r="D106" s="5"/>
      <c r="E106" s="12" t="s">
        <v>84</v>
      </c>
      <c r="F106" s="12">
        <v>70</v>
      </c>
      <c r="G106" s="12" t="s">
        <v>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5"/>
      <c r="B107" s="5"/>
      <c r="C107" s="5"/>
      <c r="D107" s="5"/>
      <c r="E107" s="12" t="s">
        <v>85</v>
      </c>
      <c r="F107" s="12">
        <v>10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5"/>
      <c r="B108" s="5"/>
      <c r="C108" s="5"/>
      <c r="D108" s="5"/>
      <c r="E108" s="13" t="s">
        <v>14</v>
      </c>
      <c r="F108" s="14">
        <f>SUM(F105:F107)</f>
        <v>80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5"/>
      <c r="B109" s="5"/>
      <c r="C109" s="26" t="s">
        <v>87</v>
      </c>
      <c r="D109" s="27" t="s">
        <v>88</v>
      </c>
      <c r="G109" s="5"/>
      <c r="H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5"/>
      <c r="B110" s="5"/>
      <c r="C110" s="12" t="s">
        <v>89</v>
      </c>
      <c r="D110" s="12">
        <v>10</v>
      </c>
      <c r="E110" s="12" t="s">
        <v>5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5"/>
      <c r="B111" s="5"/>
      <c r="C111" s="13" t="s">
        <v>14</v>
      </c>
      <c r="D111" s="13">
        <v>10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5"/>
      <c r="B112" s="5"/>
      <c r="C112" s="5"/>
      <c r="D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5"/>
      <c r="B113" s="5"/>
      <c r="C113" s="5"/>
      <c r="D113" s="5"/>
      <c r="E113" s="6" t="s">
        <v>90</v>
      </c>
      <c r="F113" s="7"/>
      <c r="G113" s="5"/>
      <c r="H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5"/>
      <c r="B114" s="5"/>
      <c r="C114" s="5"/>
      <c r="D114" s="5"/>
      <c r="E114" s="8" t="s">
        <v>91</v>
      </c>
      <c r="F114" s="9">
        <v>8100</v>
      </c>
      <c r="G114" s="12" t="s">
        <v>5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5"/>
      <c r="B115" s="5"/>
      <c r="C115" s="5"/>
      <c r="D115" s="5"/>
      <c r="E115" s="8" t="s">
        <v>92</v>
      </c>
      <c r="F115" s="9">
        <v>8100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5"/>
      <c r="B116" s="5"/>
      <c r="C116" s="5"/>
      <c r="D116" s="5"/>
      <c r="E116" s="8" t="s">
        <v>93</v>
      </c>
      <c r="F116" s="9">
        <v>2900</v>
      </c>
      <c r="G116" s="12" t="s">
        <v>7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5"/>
      <c r="B117" s="5"/>
      <c r="C117" s="5"/>
      <c r="D117" s="5"/>
      <c r="E117" s="8" t="s">
        <v>94</v>
      </c>
      <c r="F117" s="9">
        <v>2900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5"/>
      <c r="B118" s="5"/>
      <c r="C118" s="5"/>
      <c r="D118" s="5"/>
      <c r="E118" s="8" t="s">
        <v>95</v>
      </c>
      <c r="F118" s="9">
        <v>880</v>
      </c>
      <c r="G118" s="12" t="s">
        <v>7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5"/>
      <c r="B119" s="5"/>
      <c r="C119" s="5"/>
      <c r="D119" s="5"/>
      <c r="E119" s="8" t="s">
        <v>96</v>
      </c>
      <c r="F119" s="9">
        <v>880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5"/>
      <c r="B120" s="5"/>
      <c r="C120" s="5"/>
      <c r="D120" s="5"/>
      <c r="E120" s="8" t="s">
        <v>97</v>
      </c>
      <c r="F120" s="9">
        <v>110</v>
      </c>
      <c r="G120" s="12" t="s">
        <v>7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5"/>
      <c r="B121" s="5"/>
      <c r="C121" s="5"/>
      <c r="D121" s="5"/>
      <c r="E121" s="8" t="s">
        <v>98</v>
      </c>
      <c r="F121" s="9">
        <v>110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5"/>
      <c r="B122" s="5"/>
      <c r="C122" s="5"/>
      <c r="D122" s="5"/>
      <c r="E122" s="13" t="s">
        <v>14</v>
      </c>
      <c r="F122" s="24">
        <f>SUM(F114:F121)</f>
        <v>23980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5"/>
      <c r="B123" s="5"/>
      <c r="C123" s="5"/>
      <c r="D123" s="5"/>
      <c r="G123" s="6" t="s">
        <v>99</v>
      </c>
      <c r="H123" s="7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5"/>
      <c r="B124" s="5"/>
      <c r="C124" s="5"/>
      <c r="D124" s="5"/>
      <c r="G124" s="25" t="s">
        <v>100</v>
      </c>
      <c r="H124" s="25">
        <v>10</v>
      </c>
      <c r="I124" s="12" t="s">
        <v>5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5"/>
      <c r="B125" s="5"/>
      <c r="G125" s="8" t="s">
        <v>101</v>
      </c>
      <c r="H125" s="9">
        <v>170</v>
      </c>
      <c r="I125" s="12" t="s">
        <v>7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5"/>
      <c r="B126" s="5"/>
      <c r="G126" s="13" t="s">
        <v>14</v>
      </c>
      <c r="H126" s="13">
        <f>SUM(H118:H125)</f>
        <v>180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5"/>
      <c r="B127" s="5"/>
      <c r="C127" s="5"/>
      <c r="D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5"/>
      <c r="B128" s="5"/>
      <c r="C128" s="5"/>
      <c r="D128" s="5"/>
      <c r="G128" s="6" t="s">
        <v>102</v>
      </c>
      <c r="H128" s="7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5"/>
      <c r="B129" s="5"/>
      <c r="C129" s="5"/>
      <c r="D129" s="5"/>
      <c r="G129" s="21" t="s">
        <v>103</v>
      </c>
      <c r="H129" s="9">
        <v>30</v>
      </c>
      <c r="I129" s="12" t="s">
        <v>5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5"/>
      <c r="B130" s="5"/>
      <c r="C130" s="5"/>
      <c r="D130" s="5"/>
      <c r="G130" s="8" t="s">
        <v>104</v>
      </c>
      <c r="H130" s="9">
        <v>20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5"/>
      <c r="B131" s="5"/>
      <c r="C131" s="5"/>
      <c r="D131" s="5"/>
      <c r="G131" s="21" t="s">
        <v>105</v>
      </c>
      <c r="H131" s="9">
        <v>20</v>
      </c>
      <c r="I131" s="12" t="s">
        <v>7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5"/>
      <c r="B132" s="5"/>
      <c r="C132" s="5"/>
      <c r="D132" s="5"/>
      <c r="G132" s="8" t="s">
        <v>106</v>
      </c>
      <c r="H132" s="9">
        <v>20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5"/>
      <c r="B133" s="5"/>
      <c r="C133" s="5"/>
      <c r="D133" s="5"/>
      <c r="G133" s="13" t="s">
        <v>14</v>
      </c>
      <c r="H133" s="24">
        <f>SUM(H129:H132)</f>
        <v>90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5"/>
      <c r="B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5"/>
      <c r="B135" s="5"/>
      <c r="G135" s="6" t="s">
        <v>107</v>
      </c>
      <c r="H135" s="7"/>
      <c r="I135" s="15"/>
      <c r="J135" s="16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5"/>
      <c r="B136" s="5"/>
      <c r="C136" s="5"/>
      <c r="D136" s="5"/>
      <c r="G136" s="18" t="s">
        <v>108</v>
      </c>
      <c r="H136" s="25">
        <v>10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5"/>
      <c r="B137" s="5"/>
      <c r="C137" s="5"/>
      <c r="D137" s="5"/>
      <c r="G137" s="8" t="s">
        <v>109</v>
      </c>
      <c r="H137" s="9">
        <v>10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5"/>
      <c r="B138" s="5"/>
      <c r="C138" s="5"/>
      <c r="D138" s="5"/>
      <c r="G138" s="13" t="s">
        <v>14</v>
      </c>
      <c r="H138" s="13">
        <f>SUM(H134:H137)</f>
        <v>20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5"/>
      <c r="B139" s="5"/>
      <c r="C139" s="5"/>
      <c r="D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5"/>
      <c r="B140" s="5"/>
      <c r="C140" s="5"/>
      <c r="D140" s="5"/>
      <c r="G140" s="6" t="s">
        <v>110</v>
      </c>
      <c r="H140" s="7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5"/>
      <c r="B141" s="5"/>
      <c r="C141" s="5"/>
      <c r="D141" s="5"/>
      <c r="G141" s="18" t="s">
        <v>111</v>
      </c>
      <c r="H141" s="25">
        <v>10</v>
      </c>
      <c r="I141" s="12" t="s">
        <v>5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5"/>
      <c r="B142" s="5"/>
      <c r="C142" s="5"/>
      <c r="D142" s="5"/>
      <c r="G142" s="8" t="s">
        <v>112</v>
      </c>
      <c r="H142" s="9">
        <v>30</v>
      </c>
      <c r="I142" s="12" t="s">
        <v>7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5"/>
      <c r="B143" s="5"/>
      <c r="C143" s="5"/>
      <c r="D143" s="5"/>
      <c r="E143" s="5"/>
      <c r="F143" s="5"/>
      <c r="G143" s="8" t="s">
        <v>113</v>
      </c>
      <c r="H143" s="9">
        <v>30</v>
      </c>
      <c r="I143" s="12" t="s">
        <v>7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5"/>
      <c r="B144" s="5"/>
      <c r="C144" s="5"/>
      <c r="D144" s="5"/>
      <c r="E144" s="5"/>
      <c r="F144" s="5"/>
      <c r="G144" s="8" t="s">
        <v>114</v>
      </c>
      <c r="H144" s="9">
        <v>20</v>
      </c>
      <c r="I144" s="12" t="s">
        <v>7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5"/>
      <c r="B145" s="5"/>
      <c r="E145" s="5"/>
      <c r="F145" s="5"/>
      <c r="G145" s="13" t="s">
        <v>14</v>
      </c>
      <c r="H145" s="13">
        <f>SUM(H141:H144)</f>
        <v>90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5"/>
      <c r="B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5"/>
      <c r="B147" s="5"/>
      <c r="C147" s="5"/>
      <c r="D147" s="5"/>
      <c r="E147" s="5"/>
      <c r="F147" s="5"/>
      <c r="G147" s="6" t="s">
        <v>115</v>
      </c>
      <c r="H147" s="7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5"/>
      <c r="B148" s="5"/>
      <c r="C148" s="5"/>
      <c r="D148" s="5"/>
      <c r="E148" s="5"/>
      <c r="F148" s="5"/>
      <c r="G148" s="18" t="s">
        <v>116</v>
      </c>
      <c r="H148" s="25">
        <v>10</v>
      </c>
      <c r="I148" s="12" t="s">
        <v>5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5"/>
      <c r="B149" s="5"/>
      <c r="C149" s="5"/>
      <c r="D149" s="5"/>
      <c r="E149" s="5"/>
      <c r="F149" s="5"/>
      <c r="G149" s="8" t="s">
        <v>117</v>
      </c>
      <c r="H149" s="9">
        <v>20</v>
      </c>
      <c r="I149" s="12" t="s">
        <v>7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5"/>
      <c r="B150" s="5"/>
      <c r="C150" s="5"/>
      <c r="D150" s="5"/>
      <c r="E150" s="5"/>
      <c r="F150" s="5"/>
      <c r="G150" s="8" t="s">
        <v>118</v>
      </c>
      <c r="H150" s="9">
        <v>10</v>
      </c>
      <c r="I150" s="12" t="s">
        <v>7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5"/>
      <c r="B151" s="5"/>
      <c r="C151" s="5"/>
      <c r="D151" s="5"/>
      <c r="E151" s="5"/>
      <c r="F151" s="5"/>
      <c r="G151" s="8" t="s">
        <v>119</v>
      </c>
      <c r="H151" s="9">
        <v>10</v>
      </c>
      <c r="I151" s="12" t="s">
        <v>7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5"/>
      <c r="B152" s="5"/>
      <c r="C152" s="5"/>
      <c r="D152" s="5"/>
      <c r="E152" s="5"/>
      <c r="F152" s="5"/>
      <c r="G152" s="13" t="s">
        <v>14</v>
      </c>
      <c r="H152" s="13">
        <f>SUM(H148:H151)</f>
        <v>50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5"/>
      <c r="B154" s="5"/>
      <c r="C154" s="5"/>
      <c r="D154" s="5"/>
      <c r="E154" s="5"/>
      <c r="F154" s="5"/>
      <c r="G154" s="6" t="s">
        <v>120</v>
      </c>
      <c r="H154" s="7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5"/>
      <c r="B155" s="5"/>
      <c r="C155" s="5"/>
      <c r="D155" s="5"/>
      <c r="E155" s="5"/>
      <c r="F155" s="5"/>
      <c r="G155" s="18" t="s">
        <v>121</v>
      </c>
      <c r="H155" s="25">
        <v>10</v>
      </c>
      <c r="I155" s="12" t="s">
        <v>5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5"/>
      <c r="B156" s="5"/>
      <c r="C156" s="5"/>
      <c r="D156" s="5"/>
      <c r="E156" s="5"/>
      <c r="F156" s="5"/>
      <c r="G156" s="13" t="s">
        <v>14</v>
      </c>
      <c r="H156" s="13">
        <v>10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5"/>
      <c r="B158" s="5"/>
      <c r="C158" s="5"/>
      <c r="D158" s="5"/>
      <c r="E158" s="6" t="s">
        <v>122</v>
      </c>
      <c r="F158" s="7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5"/>
      <c r="B159" s="5"/>
      <c r="C159" s="5"/>
      <c r="D159" s="5"/>
      <c r="E159" s="8" t="s">
        <v>123</v>
      </c>
      <c r="F159" s="9">
        <v>2900</v>
      </c>
      <c r="G159" s="12" t="s">
        <v>5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5"/>
      <c r="B160" s="5"/>
      <c r="C160" s="5"/>
      <c r="D160" s="5"/>
      <c r="E160" s="8" t="s">
        <v>124</v>
      </c>
      <c r="F160" s="9">
        <v>170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5"/>
      <c r="B161" s="5"/>
      <c r="C161" s="5"/>
      <c r="D161" s="5"/>
      <c r="E161" s="8" t="s">
        <v>86</v>
      </c>
      <c r="F161" s="9">
        <v>140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5"/>
      <c r="B162" s="5"/>
      <c r="C162" s="5"/>
      <c r="D162" s="5"/>
      <c r="E162" s="8" t="s">
        <v>125</v>
      </c>
      <c r="F162" s="9">
        <v>140</v>
      </c>
      <c r="G162" s="12" t="s">
        <v>7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5"/>
      <c r="B163" s="5"/>
      <c r="C163" s="5"/>
      <c r="D163" s="5"/>
      <c r="E163" s="8" t="s">
        <v>126</v>
      </c>
      <c r="F163" s="9">
        <v>110</v>
      </c>
      <c r="G163" s="12" t="s">
        <v>7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5"/>
      <c r="B164" s="5"/>
      <c r="C164" s="5"/>
      <c r="D164" s="5"/>
      <c r="E164" s="8" t="s">
        <v>127</v>
      </c>
      <c r="F164" s="9">
        <v>70</v>
      </c>
      <c r="G164" s="12" t="s">
        <v>7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5"/>
      <c r="B165" s="5"/>
      <c r="C165" s="5"/>
      <c r="D165" s="5"/>
      <c r="E165" s="13" t="s">
        <v>14</v>
      </c>
      <c r="F165" s="24">
        <f>SUM(F159:F164)</f>
        <v>3530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5"/>
      <c r="B166" s="5"/>
      <c r="C166" s="5"/>
      <c r="D166" s="5"/>
      <c r="E166" s="5"/>
      <c r="F166" s="5"/>
      <c r="G166" s="6" t="s">
        <v>128</v>
      </c>
      <c r="H166" s="7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5"/>
      <c r="B167" s="5"/>
      <c r="C167" s="5"/>
      <c r="D167" s="5"/>
      <c r="E167" s="5"/>
      <c r="F167" s="5"/>
      <c r="G167" s="25" t="s">
        <v>129</v>
      </c>
      <c r="H167" s="25">
        <v>10</v>
      </c>
      <c r="I167" s="12" t="s">
        <v>5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5"/>
      <c r="B168" s="5"/>
      <c r="C168" s="5"/>
      <c r="D168" s="5"/>
      <c r="E168" s="5"/>
      <c r="F168" s="5"/>
      <c r="G168" s="18" t="s">
        <v>130</v>
      </c>
      <c r="H168" s="9">
        <v>170</v>
      </c>
      <c r="I168" s="12" t="s">
        <v>7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5"/>
      <c r="B169" s="5"/>
      <c r="C169" s="5"/>
      <c r="D169" s="5"/>
      <c r="E169" s="5"/>
      <c r="F169" s="5"/>
      <c r="G169" s="13" t="s">
        <v>14</v>
      </c>
      <c r="H169" s="13">
        <f>SUM(H161:H168)</f>
        <v>180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5"/>
      <c r="B171" s="5"/>
      <c r="C171" s="5"/>
      <c r="D171" s="5"/>
      <c r="E171" s="5"/>
      <c r="F171" s="5"/>
      <c r="G171" s="6" t="s">
        <v>131</v>
      </c>
      <c r="H171" s="7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5"/>
      <c r="B172" s="5"/>
      <c r="E172" s="5"/>
      <c r="F172" s="5"/>
      <c r="G172" s="18" t="s">
        <v>132</v>
      </c>
      <c r="H172" s="25">
        <v>10</v>
      </c>
      <c r="I172" s="12" t="s">
        <v>5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5"/>
      <c r="B173" s="5"/>
      <c r="E173" s="5"/>
      <c r="F173" s="5"/>
      <c r="G173" s="13" t="s">
        <v>14</v>
      </c>
      <c r="H173" s="13">
        <v>10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5"/>
      <c r="B174" s="5"/>
      <c r="C174" s="5"/>
      <c r="D174" s="5"/>
      <c r="E174" s="5"/>
      <c r="F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5"/>
      <c r="B175" s="5"/>
      <c r="C175" s="5"/>
      <c r="D175" s="5"/>
      <c r="E175" s="5"/>
      <c r="F175" s="5"/>
      <c r="G175" s="6" t="s">
        <v>133</v>
      </c>
      <c r="H175" s="7"/>
      <c r="I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5"/>
      <c r="B176" s="5"/>
      <c r="C176" s="5"/>
      <c r="D176" s="5"/>
      <c r="E176" s="5"/>
      <c r="F176" s="5"/>
      <c r="G176" s="18" t="s">
        <v>134</v>
      </c>
      <c r="H176" s="25">
        <v>10</v>
      </c>
      <c r="I176" s="12" t="s">
        <v>5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5"/>
      <c r="B177" s="5"/>
      <c r="C177" s="5"/>
      <c r="D177" s="5"/>
      <c r="E177" s="5"/>
      <c r="F177" s="5"/>
      <c r="G177" s="13" t="s">
        <v>14</v>
      </c>
      <c r="H177" s="13">
        <v>10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5"/>
      <c r="B178" s="5"/>
      <c r="C178" s="5"/>
      <c r="D178" s="5"/>
      <c r="E178" s="5"/>
      <c r="F178" s="5"/>
      <c r="G178" s="5"/>
      <c r="H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5"/>
      <c r="B179" s="5"/>
      <c r="C179" s="5"/>
      <c r="D179" s="5"/>
      <c r="E179" s="5"/>
      <c r="F179" s="5"/>
      <c r="G179" s="6" t="s">
        <v>135</v>
      </c>
      <c r="H179" s="7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5"/>
      <c r="B180" s="5"/>
      <c r="C180" s="5"/>
      <c r="D180" s="5"/>
      <c r="E180" s="5"/>
      <c r="F180" s="5"/>
      <c r="G180" s="18" t="s">
        <v>136</v>
      </c>
      <c r="H180" s="25">
        <v>10</v>
      </c>
      <c r="I180" s="12" t="s">
        <v>5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5"/>
      <c r="B181" s="5"/>
      <c r="C181" s="5"/>
      <c r="D181" s="5"/>
      <c r="E181" s="5"/>
      <c r="F181" s="5"/>
      <c r="G181" s="8" t="s">
        <v>137</v>
      </c>
      <c r="H181" s="9">
        <v>10</v>
      </c>
      <c r="I181" s="12" t="s">
        <v>7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5"/>
      <c r="B182" s="5"/>
      <c r="C182" s="5"/>
      <c r="D182" s="5"/>
      <c r="E182" s="5"/>
      <c r="F182" s="5"/>
      <c r="G182" s="13" t="s">
        <v>14</v>
      </c>
      <c r="H182" s="13">
        <v>20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5"/>
      <c r="B184" s="5"/>
      <c r="C184" s="5"/>
      <c r="D184" s="5"/>
      <c r="E184" s="5"/>
      <c r="F184" s="5"/>
      <c r="G184" s="6" t="s">
        <v>138</v>
      </c>
      <c r="H184" s="7"/>
      <c r="I184" s="15"/>
      <c r="J184" s="16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5"/>
      <c r="B185" s="5"/>
      <c r="C185" s="5"/>
      <c r="D185" s="5"/>
      <c r="E185" s="5"/>
      <c r="F185" s="5"/>
      <c r="G185" s="18" t="s">
        <v>139</v>
      </c>
      <c r="H185" s="25">
        <v>10</v>
      </c>
      <c r="I185" s="12" t="s">
        <v>5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5"/>
      <c r="B186" s="5"/>
      <c r="C186" s="5"/>
      <c r="D186" s="5"/>
      <c r="E186" s="5"/>
      <c r="F186" s="5"/>
      <c r="G186" s="13" t="s">
        <v>14</v>
      </c>
      <c r="H186" s="13">
        <v>10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5"/>
      <c r="B187" s="5"/>
      <c r="C187" s="5"/>
      <c r="D187" s="5"/>
      <c r="E187" s="5"/>
      <c r="F187" s="5"/>
      <c r="G187" s="5"/>
      <c r="H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5"/>
      <c r="B188" s="5"/>
      <c r="C188" s="5"/>
      <c r="D188" s="5"/>
      <c r="E188" s="5"/>
      <c r="F188" s="5"/>
      <c r="G188" s="6" t="s">
        <v>140</v>
      </c>
      <c r="H188" s="7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5"/>
      <c r="B189" s="5"/>
      <c r="C189" s="5"/>
      <c r="D189" s="5"/>
      <c r="E189" s="5"/>
      <c r="F189" s="5"/>
      <c r="G189" s="18" t="s">
        <v>141</v>
      </c>
      <c r="H189" s="25">
        <v>10</v>
      </c>
      <c r="I189" s="12" t="s">
        <v>5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5"/>
      <c r="B190" s="5"/>
      <c r="C190" s="5"/>
      <c r="D190" s="5"/>
      <c r="E190" s="5"/>
      <c r="F190" s="5"/>
      <c r="G190" s="13" t="s">
        <v>14</v>
      </c>
      <c r="H190" s="13">
        <v>10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5"/>
      <c r="B192" s="5"/>
      <c r="C192" s="5"/>
      <c r="D192" s="5"/>
      <c r="E192" s="5"/>
      <c r="F192" s="5"/>
      <c r="G192" s="6" t="s">
        <v>142</v>
      </c>
      <c r="H192" s="7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5"/>
      <c r="B193" s="5"/>
      <c r="C193" s="5"/>
      <c r="D193" s="5"/>
      <c r="E193" s="5"/>
      <c r="F193" s="5"/>
      <c r="G193" s="18" t="s">
        <v>143</v>
      </c>
      <c r="H193" s="25">
        <v>10</v>
      </c>
      <c r="I193" s="12" t="s">
        <v>5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5"/>
      <c r="B194" s="5"/>
      <c r="E194" s="5"/>
      <c r="F194" s="5"/>
      <c r="G194" s="13" t="s">
        <v>14</v>
      </c>
      <c r="H194" s="13">
        <v>10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Miquel Pérez Victorio</cp:lastModifiedBy>
  <dcterms:modified xsi:type="dcterms:W3CDTF">2021-10-26T09:11:18Z</dcterms:modified>
</cp:coreProperties>
</file>