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79A99380-239B-984E-B7E2-CBBF7D43CAD5}" xr6:coauthVersionLast="46" xr6:coauthVersionMax="46" xr10:uidLastSave="{00000000-0000-0000-0000-000000000000}"/>
  <bookViews>
    <workbookView xWindow="-4020" yWindow="-21100" windowWidth="38400" windowHeight="19960" activeTab="2" xr2:uid="{00000000-000D-0000-FFFF-FFFF00000000}"/>
  </bookViews>
  <sheets>
    <sheet name="KW Reserarch" sheetId="2" state="hidden" r:id="rId1"/>
    <sheet name="KW" sheetId="3" state="hidden" r:id="rId2"/>
    <sheet name="ES" sheetId="5" r:id="rId3"/>
    <sheet name="EN" sheetId="8" r:id="rId4"/>
    <sheet name="Arquitectura" sheetId="10" state="hidden" r:id="rId5"/>
  </sheets>
  <definedNames>
    <definedName name="_xlnm._FilterDatabase" localSheetId="1" hidden="1">KW!$A$1:$A$704</definedName>
    <definedName name="_xlnm._FilterDatabase" localSheetId="0" hidden="1">'KW Reserarch'!$A$1:$Z$522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1" i="8" l="1"/>
  <c r="D64" i="8"/>
  <c r="B5" i="8"/>
  <c r="F69" i="8"/>
  <c r="F74" i="8"/>
  <c r="F82" i="8"/>
  <c r="H86" i="8"/>
  <c r="H92" i="8"/>
  <c r="F97" i="8"/>
  <c r="F103" i="8"/>
  <c r="F111" i="8"/>
  <c r="F115" i="8"/>
  <c r="F122" i="8"/>
  <c r="F129" i="8"/>
  <c r="F133" i="8"/>
  <c r="F138" i="8"/>
  <c r="F142" i="8"/>
  <c r="D164" i="8"/>
  <c r="F172" i="8"/>
  <c r="D359" i="5"/>
  <c r="F218" i="5"/>
  <c r="H198" i="5"/>
  <c r="F182" i="5"/>
  <c r="H365" i="10"/>
  <c r="J354" i="10"/>
  <c r="J344" i="10"/>
  <c r="H335" i="10"/>
  <c r="H330" i="10"/>
  <c r="H320" i="10"/>
  <c r="J315" i="10"/>
  <c r="H311" i="10"/>
  <c r="H301" i="10"/>
  <c r="H254" i="10"/>
  <c r="F138" i="10"/>
  <c r="D37" i="10"/>
  <c r="D429" i="5"/>
  <c r="F408" i="5"/>
  <c r="D403" i="5"/>
  <c r="D394" i="5"/>
  <c r="F387" i="5"/>
  <c r="D375" i="5"/>
  <c r="D348" i="5"/>
  <c r="D330" i="5"/>
  <c r="D316" i="5"/>
  <c r="D300" i="5"/>
  <c r="D294" i="5"/>
  <c r="F289" i="5"/>
  <c r="D281" i="5"/>
  <c r="F257" i="5"/>
  <c r="F246" i="5"/>
  <c r="H223" i="5"/>
  <c r="F209" i="5"/>
  <c r="F203" i="5"/>
  <c r="D150" i="5"/>
  <c r="F137" i="5"/>
  <c r="F119" i="5"/>
  <c r="F106" i="5"/>
  <c r="F101" i="5"/>
  <c r="H95" i="5"/>
  <c r="F86" i="5"/>
  <c r="F77" i="5"/>
  <c r="D70" i="5"/>
  <c r="B36" i="5"/>
  <c r="C496" i="2"/>
  <c r="C49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70" authorId="0" shapeId="0" xr:uid="{00000000-0006-0000-0400-000004000000}">
      <text>
        <r>
          <rPr>
            <sz val="10"/>
            <color rgb="FF000000"/>
            <rFont val="Arial"/>
            <scheme val="minor"/>
          </rPr>
          <t>mixtas, informacionales y salen freelance, alguna agencia
	-Rafa Duarte Sánchez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8" authorId="0" shapeId="0" xr:uid="{00000000-0006-0000-0900-000001000000}">
      <text>
        <r>
          <rPr>
            <sz val="10"/>
            <color rgb="FF000000"/>
            <rFont val="Arial"/>
            <scheme val="minor"/>
          </rPr>
          <t xml:space="preserve">Casi todas informacionales, una sola transaccional
</t>
        </r>
      </text>
    </comment>
  </commentList>
</comments>
</file>

<file path=xl/sharedStrings.xml><?xml version="1.0" encoding="utf-8"?>
<sst xmlns="http://schemas.openxmlformats.org/spreadsheetml/2006/main" count="2225" uniqueCount="1022">
  <si>
    <t>Keyword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</si>
  <si>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</si>
  <si>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</si>
  <si>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</si>
  <si>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</si>
  <si>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</si>
  <si>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</si>
  <si>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</si>
  <si>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</si>
  <si>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</si>
  <si>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</si>
  <si>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</si>
  <si>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</si>
  <si>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</si>
  <si>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</si>
  <si>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agencia seo</t>
  </si>
  <si>
    <t>seo agencia</t>
  </si>
  <si>
    <t>agencia de marketing digital</t>
  </si>
  <si>
    <t>agencia digital marketing</t>
  </si>
  <si>
    <t>agencia marketing digital</t>
  </si>
  <si>
    <t>agencias de marketing digital</t>
  </si>
  <si>
    <t>digital marketing agencia</t>
  </si>
  <si>
    <t>empresa amazon</t>
  </si>
  <si>
    <t>marketing digital agencia</t>
  </si>
  <si>
    <t>funnel de ventas</t>
  </si>
  <si>
    <t>consultor seo</t>
  </si>
  <si>
    <t>seo consultor</t>
  </si>
  <si>
    <t>seo y sem</t>
  </si>
  <si>
    <t>seo sem</t>
  </si>
  <si>
    <t>youtube ads</t>
  </si>
  <si>
    <t>agencia marketing</t>
  </si>
  <si>
    <t>anuncios en facebook</t>
  </si>
  <si>
    <t>seo local</t>
  </si>
  <si>
    <t>agencia google ads</t>
  </si>
  <si>
    <t>agencias google ads</t>
  </si>
  <si>
    <t>experto seo</t>
  </si>
  <si>
    <t>expertos en seo</t>
  </si>
  <si>
    <t>agencia sem</t>
  </si>
  <si>
    <t>agencia seo barcelona</t>
  </si>
  <si>
    <t>agencias sem</t>
  </si>
  <si>
    <t>funnel de conversion</t>
  </si>
  <si>
    <t>agencia de diseño web</t>
  </si>
  <si>
    <t>agencia de marketing online</t>
  </si>
  <si>
    <t>agencia digital</t>
  </si>
  <si>
    <t>agencia marketing online</t>
  </si>
  <si>
    <t>agencias digitales</t>
  </si>
  <si>
    <t>auditoria seo</t>
  </si>
  <si>
    <t>empresas de marketing digital</t>
  </si>
  <si>
    <t>especialista en seo</t>
  </si>
  <si>
    <t>especialista seo</t>
  </si>
  <si>
    <t>marketing online agencia</t>
  </si>
  <si>
    <t>posicionamiento web barcelona</t>
  </si>
  <si>
    <t>seo barcelona</t>
  </si>
  <si>
    <t>agencia diseño web</t>
  </si>
  <si>
    <t>agencia marketing digital barcelona</t>
  </si>
  <si>
    <t>consultora marketing</t>
  </si>
  <si>
    <t>consultoria en marketing</t>
  </si>
  <si>
    <t>empresa marketing digital</t>
  </si>
  <si>
    <t>empresa seo</t>
  </si>
  <si>
    <t>empresas seo</t>
  </si>
  <si>
    <t>experto en marketing digital</t>
  </si>
  <si>
    <t>experto marketing digital</t>
  </si>
  <si>
    <t>marketing digital barcelona</t>
  </si>
  <si>
    <t>marketing digital en barcelona</t>
  </si>
  <si>
    <t>seo empresa</t>
  </si>
  <si>
    <t>agencia de seo</t>
  </si>
  <si>
    <t>agencias de seo</t>
  </si>
  <si>
    <t>auditoria web</t>
  </si>
  <si>
    <t>consultor seo barcelona</t>
  </si>
  <si>
    <t>consultoria seo barcelona</t>
  </si>
  <si>
    <t>seo servicio</t>
  </si>
  <si>
    <t>seo you tube</t>
  </si>
  <si>
    <t>servicio seo</t>
  </si>
  <si>
    <t>tienda online wordpress</t>
  </si>
  <si>
    <t>agencia de marketing digital barcelona</t>
  </si>
  <si>
    <t>agencia de marketing digital en barcelona</t>
  </si>
  <si>
    <t>agencia de posicionamiento seo</t>
  </si>
  <si>
    <t>agencia de posicionamiento web</t>
  </si>
  <si>
    <t>agencia posicionamiento seo</t>
  </si>
  <si>
    <t>agencias de marketing digital en barcelona</t>
  </si>
  <si>
    <t>agencias posicionamiento seo</t>
  </si>
  <si>
    <t>consultor marketing digital</t>
  </si>
  <si>
    <t>consultor seo freelance</t>
  </si>
  <si>
    <t>consultora marketing digital</t>
  </si>
  <si>
    <t>consultoria en marketing digital</t>
  </si>
  <si>
    <t>desarrollo de paginas web</t>
  </si>
  <si>
    <t>desarrollo paginas web</t>
  </si>
  <si>
    <t>desarrollo web empresa</t>
  </si>
  <si>
    <t>empresa marketing</t>
  </si>
  <si>
    <t>posicionamiento seo barcelona</t>
  </si>
  <si>
    <t>posicionamiento seo empresas</t>
  </si>
  <si>
    <t>posicionamiento seo precio</t>
  </si>
  <si>
    <t>agencia amazon</t>
  </si>
  <si>
    <t>consultor marketing online</t>
  </si>
  <si>
    <t>empresas de posicionamiento web</t>
  </si>
  <si>
    <t>precio seo</t>
  </si>
  <si>
    <t>servicios de</t>
  </si>
  <si>
    <t>agencia de marketing de contenidos</t>
  </si>
  <si>
    <t>agencia inbound marketing</t>
  </si>
  <si>
    <t>agencia marketing contenidos</t>
  </si>
  <si>
    <t>agencia redes sociales</t>
  </si>
  <si>
    <t>diseño y desarrollo web</t>
  </si>
  <si>
    <t>ecommerce agencia</t>
  </si>
  <si>
    <t>empresa de posicionamiento seo</t>
  </si>
  <si>
    <t>empresa de seo</t>
  </si>
  <si>
    <t>empresa publicidad</t>
  </si>
  <si>
    <t>especialista google ads</t>
  </si>
  <si>
    <t>facebook leads ads</t>
  </si>
  <si>
    <t>inbound marketing agencia</t>
  </si>
  <si>
    <t>agencia desarrollo web</t>
  </si>
  <si>
    <t>agencia facebook ads</t>
  </si>
  <si>
    <t>agencia seo local</t>
  </si>
  <si>
    <t>anuncios de facebook</t>
  </si>
  <si>
    <t>campaña facebook ads</t>
  </si>
  <si>
    <t>consultor de marketing online</t>
  </si>
  <si>
    <t>consultora de marketing online</t>
  </si>
  <si>
    <t>consultoria de marketing digital</t>
  </si>
  <si>
    <t>desarrollo web barcelona</t>
  </si>
  <si>
    <t>facebook ads agencia</t>
  </si>
  <si>
    <t>sem barcelona</t>
  </si>
  <si>
    <t>servicios de marketing digital</t>
  </si>
  <si>
    <t>tienda online en prestashop</t>
  </si>
  <si>
    <t>tienda online prestashop</t>
  </si>
  <si>
    <t>agencia marketing online barcelona</t>
  </si>
  <si>
    <t>agencia posicionamiento</t>
  </si>
  <si>
    <t>agencia seo ciudad real</t>
  </si>
  <si>
    <t>amazon servicio</t>
  </si>
  <si>
    <t>consultor de marketing digital</t>
  </si>
  <si>
    <t>consultores digitales</t>
  </si>
  <si>
    <t>conversion rate optimization</t>
  </si>
  <si>
    <t>empresa de desarrollo web</t>
  </si>
  <si>
    <t>empresa marketing online</t>
  </si>
  <si>
    <t>marketing online barcelona</t>
  </si>
  <si>
    <t>marketing online empresa</t>
  </si>
  <si>
    <t>mejor agencia seo</t>
  </si>
  <si>
    <t>mejores agencias seo</t>
  </si>
  <si>
    <t>seo en wordpress</t>
  </si>
  <si>
    <t>seo internacional</t>
  </si>
  <si>
    <t>seo local barcelona</t>
  </si>
  <si>
    <t>servicio amazon</t>
  </si>
  <si>
    <t>agencia de posicionamiento</t>
  </si>
  <si>
    <t>agencia sem barcelona</t>
  </si>
  <si>
    <t>analitica barcelona</t>
  </si>
  <si>
    <t>consultoras de marketing digital</t>
  </si>
  <si>
    <t>consultoria marketing estrategico</t>
  </si>
  <si>
    <t>embudo de conversion marketing</t>
  </si>
  <si>
    <t>embudo de marketing</t>
  </si>
  <si>
    <t>empresa de amazon</t>
  </si>
  <si>
    <t>empresa de marketing online</t>
  </si>
  <si>
    <t>marketing digital servicio</t>
  </si>
  <si>
    <t>seo para ecommerce</t>
  </si>
  <si>
    <t>seo prestashop</t>
  </si>
  <si>
    <t>servicio marketing digital</t>
  </si>
  <si>
    <t>servicios marketing digital</t>
  </si>
  <si>
    <t>agencia de adwords</t>
  </si>
  <si>
    <t>agencia de amazon</t>
  </si>
  <si>
    <t>agencia de marketing digital para pymes</t>
  </si>
  <si>
    <t>agencia posicionamiento seo barcelona</t>
  </si>
  <si>
    <t>agencia ppc</t>
  </si>
  <si>
    <t>agencia seo sem</t>
  </si>
  <si>
    <t>agencias de adwords</t>
  </si>
  <si>
    <t>agencias publicidad on line</t>
  </si>
  <si>
    <t>consultor sem</t>
  </si>
  <si>
    <t>diseño tienda online prestashop</t>
  </si>
  <si>
    <t>empresa de posicionamiento</t>
  </si>
  <si>
    <t>experto en facebook ads</t>
  </si>
  <si>
    <t>experto facebook ads</t>
  </si>
  <si>
    <t>expertos en facebook ads</t>
  </si>
  <si>
    <t>posicionamiento seo local</t>
  </si>
  <si>
    <t>posicionamiento seo wordpress</t>
  </si>
  <si>
    <t>seo amazon</t>
  </si>
  <si>
    <t>seo ecommerce</t>
  </si>
  <si>
    <t>seo marketing digital</t>
  </si>
  <si>
    <t>seo para wordpress</t>
  </si>
  <si>
    <t>seo y sem marketing</t>
  </si>
  <si>
    <t>servicio en marketing</t>
  </si>
  <si>
    <t>agencia de desarrollo web</t>
  </si>
  <si>
    <t>agencia de inbound marketing</t>
  </si>
  <si>
    <t>agencia de publicidad digital</t>
  </si>
  <si>
    <t>agencia de publicidad en google</t>
  </si>
  <si>
    <t>asesoria seo</t>
  </si>
  <si>
    <t>consultor de seo</t>
  </si>
  <si>
    <t>consultoria posicionamiento web</t>
  </si>
  <si>
    <t>consultoría estratégica marketing</t>
  </si>
  <si>
    <t>empresa de marketing digital barcelona</t>
  </si>
  <si>
    <t>empresas de marketing digital barcelona</t>
  </si>
  <si>
    <t>mejorar seo wordpress</t>
  </si>
  <si>
    <t>presupuesto posicionamiento seo</t>
  </si>
  <si>
    <t>seo en barcelona</t>
  </si>
  <si>
    <t>servicios de amazon</t>
  </si>
  <si>
    <t>youtube empresa</t>
  </si>
  <si>
    <t>ads empresa</t>
  </si>
  <si>
    <t>agencia analitica web</t>
  </si>
  <si>
    <t>agencia de desarrollo</t>
  </si>
  <si>
    <t>agencia de posicionamiento en google</t>
  </si>
  <si>
    <t>agencia email marketing</t>
  </si>
  <si>
    <t>agencia seo en barcelona</t>
  </si>
  <si>
    <t>agencia seo y sem</t>
  </si>
  <si>
    <t>asesores marketing digital</t>
  </si>
  <si>
    <t>auditoria marketing</t>
  </si>
  <si>
    <t>campaña publicitaria en facebook</t>
  </si>
  <si>
    <t>campaña publicitaria instagram</t>
  </si>
  <si>
    <t>captar clientes potenciales</t>
  </si>
  <si>
    <t>consultor ux</t>
  </si>
  <si>
    <t>consultoria de publicidad digital</t>
  </si>
  <si>
    <t>consultoria ux</t>
  </si>
  <si>
    <t>copywriting para web</t>
  </si>
  <si>
    <t>desarrollo empresas</t>
  </si>
  <si>
    <t>email marketing agencia</t>
  </si>
  <si>
    <t>empresa ads</t>
  </si>
  <si>
    <t>empresas de posicionamiento en google</t>
  </si>
  <si>
    <t>experto en</t>
  </si>
  <si>
    <t>experto en amazon</t>
  </si>
  <si>
    <t>experto en sem</t>
  </si>
  <si>
    <t>experto sem</t>
  </si>
  <si>
    <t>experto seo barcelona</t>
  </si>
  <si>
    <t>google ads agencia</t>
  </si>
  <si>
    <t>marketing online en barcelona</t>
  </si>
  <si>
    <t>publicidad en facebook ads</t>
  </si>
  <si>
    <t>seo en amazon</t>
  </si>
  <si>
    <t>seo google my business</t>
  </si>
  <si>
    <t>seo local google my business</t>
  </si>
  <si>
    <t>servicio de marketing online</t>
  </si>
  <si>
    <t>servicio posicionamiento seo</t>
  </si>
  <si>
    <t>servicios posicionamiento seo</t>
  </si>
  <si>
    <t>tarifas posicionamiento seo</t>
  </si>
  <si>
    <t>tienda online wordpress precio</t>
  </si>
  <si>
    <t>ads barcelona</t>
  </si>
  <si>
    <t>agencia de marketing online barcelona</t>
  </si>
  <si>
    <t>agencia de marketing online en barcelona</t>
  </si>
  <si>
    <t>agencia de posicionamiento organico</t>
  </si>
  <si>
    <t>agencia google my business</t>
  </si>
  <si>
    <t>agencia publicidad digital</t>
  </si>
  <si>
    <t>agencia seo eu</t>
  </si>
  <si>
    <t>agencia ux</t>
  </si>
  <si>
    <t>auditor seo</t>
  </si>
  <si>
    <t>auditoria pagina web</t>
  </si>
  <si>
    <t>consultor seo sem</t>
  </si>
  <si>
    <t>copywriting servicios</t>
  </si>
  <si>
    <t>empresa marketing digital barcelona</t>
  </si>
  <si>
    <t>empresa sem</t>
  </si>
  <si>
    <t>experto en marketing online</t>
  </si>
  <si>
    <t>experto marketing online</t>
  </si>
  <si>
    <t>marketing asesorias</t>
  </si>
  <si>
    <t>mejor empresa de posicionamiento web</t>
  </si>
  <si>
    <t>posicionamiento seo en barcelona</t>
  </si>
  <si>
    <t>posicionamiento seo internacional</t>
  </si>
  <si>
    <t>prestashop seo</t>
  </si>
  <si>
    <t>presupuesto tienda online prestashop</t>
  </si>
  <si>
    <t>seo en prestashop</t>
  </si>
  <si>
    <t>servicio marketing online</t>
  </si>
  <si>
    <t>servicio posicionamiento</t>
  </si>
  <si>
    <t>servicio posicionamiento web</t>
  </si>
  <si>
    <t>servicio sem</t>
  </si>
  <si>
    <t>agencia de copywriting</t>
  </si>
  <si>
    <t>agencia de marketing b2b</t>
  </si>
  <si>
    <t>agencia especializada en amazon</t>
  </si>
  <si>
    <t>agencia google ads barcelona</t>
  </si>
  <si>
    <t>agencia inbound</t>
  </si>
  <si>
    <t>agencia publicidad en google</t>
  </si>
  <si>
    <t>agencia seo internacional</t>
  </si>
  <si>
    <t>asesoria marketing digital</t>
  </si>
  <si>
    <t>asesoría marketing digital</t>
  </si>
  <si>
    <t>automatizar ventas</t>
  </si>
  <si>
    <t>consultor amazon</t>
  </si>
  <si>
    <t>consultor seo local</t>
  </si>
  <si>
    <t>consultor seo wordpress</t>
  </si>
  <si>
    <t>consultoria sem</t>
  </si>
  <si>
    <t>contratar posicionamiento seo</t>
  </si>
  <si>
    <t>empresa desarrollo web barcelona</t>
  </si>
  <si>
    <t>empresa posicionamiento web barcelona</t>
  </si>
  <si>
    <t>experto google ads</t>
  </si>
  <si>
    <t>google ads especialista</t>
  </si>
  <si>
    <t>inbound marketing barcelona</t>
  </si>
  <si>
    <t>posicionamiento seo agencia</t>
  </si>
  <si>
    <t>posicionamiento web en barcelona</t>
  </si>
  <si>
    <t>posicionamiento web freelance</t>
  </si>
  <si>
    <t>posicionamiento web local</t>
  </si>
  <si>
    <t>profesionales seo</t>
  </si>
  <si>
    <t>seo para prestashop</t>
  </si>
  <si>
    <t>servicio de posicionamiento seo</t>
  </si>
  <si>
    <t>servicio link building</t>
  </si>
  <si>
    <t>servicio seo barcelona</t>
  </si>
  <si>
    <t>servicios de una agencia de marketing</t>
  </si>
  <si>
    <t>tienda online prestashop precio</t>
  </si>
  <si>
    <t>agencia adwords barcelona</t>
  </si>
  <si>
    <t>agencia copywriting</t>
  </si>
  <si>
    <t>agencia de ecommerce</t>
  </si>
  <si>
    <t>agencia de funnels</t>
  </si>
  <si>
    <t>agencia de google ads</t>
  </si>
  <si>
    <t>agencia de posicionamiento web seo</t>
  </si>
  <si>
    <t>agencia de sem</t>
  </si>
  <si>
    <t>agencia desarrollo</t>
  </si>
  <si>
    <t>agencia google adwords barcelona</t>
  </si>
  <si>
    <t>agencia google partner</t>
  </si>
  <si>
    <t>agencia inbound marketing barcelona</t>
  </si>
  <si>
    <t>agencia marketing industrial</t>
  </si>
  <si>
    <t>agencia marketing seo</t>
  </si>
  <si>
    <t>agencia posicionamiento web barcelona</t>
  </si>
  <si>
    <t>agencia seo posicionamiento</t>
  </si>
  <si>
    <t>agencia seo precios</t>
  </si>
  <si>
    <t>agencia seo sabadell</t>
  </si>
  <si>
    <t>asesoria posicionamiento seo</t>
  </si>
  <si>
    <t>auditoria sem</t>
  </si>
  <si>
    <t>consultor marketing digital barcelona</t>
  </si>
  <si>
    <t>consultor seo internacional</t>
  </si>
  <si>
    <t>consultoria marketing digital barcelona</t>
  </si>
  <si>
    <t>copywriting marketing</t>
  </si>
  <si>
    <t>embudo marketing digital</t>
  </si>
  <si>
    <t>empresa de youtube</t>
  </si>
  <si>
    <t>empresa seo barcelona</t>
  </si>
  <si>
    <t>empresa youtube</t>
  </si>
  <si>
    <t>empresas de posicionamiento en internet</t>
  </si>
  <si>
    <t>experto seo freelance</t>
  </si>
  <si>
    <t>experto seo local</t>
  </si>
  <si>
    <t>expertos en adwords</t>
  </si>
  <si>
    <t>inbound marketing en barcelona</t>
  </si>
  <si>
    <t>mejorar seo prestashop</t>
  </si>
  <si>
    <t>mejores empresas seo</t>
  </si>
  <si>
    <t>optimización de la tasa de conversión</t>
  </si>
  <si>
    <t>posicionamiento buscadores servicio</t>
  </si>
  <si>
    <t>posicionamiento web internacional</t>
  </si>
  <si>
    <t>sem empresa</t>
  </si>
  <si>
    <t>servicios de posicionamiento</t>
  </si>
  <si>
    <t>ux barcelona</t>
  </si>
  <si>
    <t>youtube ads google</t>
  </si>
  <si>
    <t>agencia amazon ads</t>
  </si>
  <si>
    <t>agencia de facebook ads</t>
  </si>
  <si>
    <t>agencia de marketing seo</t>
  </si>
  <si>
    <t>agencia de posicionamiento en buscadores</t>
  </si>
  <si>
    <t>agencia de publicidad y marketing digital</t>
  </si>
  <si>
    <t>agencia de seo barcelona</t>
  </si>
  <si>
    <t>agencia digital seo</t>
  </si>
  <si>
    <t>agencia diseño web seo</t>
  </si>
  <si>
    <t>agencia google</t>
  </si>
  <si>
    <t>agencia google analytics</t>
  </si>
  <si>
    <t>agencia instagram ads</t>
  </si>
  <si>
    <t>agencia marketing amazon</t>
  </si>
  <si>
    <t>agencia seo amazon</t>
  </si>
  <si>
    <t>agencia seo neoattack</t>
  </si>
  <si>
    <t>agencia seo prestashop</t>
  </si>
  <si>
    <t>agencia servicios marketing</t>
  </si>
  <si>
    <t>agencia social ads</t>
  </si>
  <si>
    <t>agencia web seo</t>
  </si>
  <si>
    <t>agencia wordpress</t>
  </si>
  <si>
    <t>agencias de mkt digital</t>
  </si>
  <si>
    <t>auditoria google ads</t>
  </si>
  <si>
    <t>auditoria web online</t>
  </si>
  <si>
    <t>campaña publicitaria amazon</t>
  </si>
  <si>
    <t>campaña publicitaria google</t>
  </si>
  <si>
    <t>consultor analitica web</t>
  </si>
  <si>
    <t>consultor facebook ads</t>
  </si>
  <si>
    <t>consultor google adwords</t>
  </si>
  <si>
    <t>consultor posicionamiento</t>
  </si>
  <si>
    <t>consultor seo en barcelona</t>
  </si>
  <si>
    <t>desarrollo barcelona</t>
  </si>
  <si>
    <t>desarrollo de sitios web</t>
  </si>
  <si>
    <t>desarrollo tienda online prestashop</t>
  </si>
  <si>
    <t>desarrollo web servicio</t>
  </si>
  <si>
    <t>embudos de venta automatizados</t>
  </si>
  <si>
    <t>empresa de desarrollo</t>
  </si>
  <si>
    <t>empresa inbound marketing</t>
  </si>
  <si>
    <t>empresa ppc</t>
  </si>
  <si>
    <t>experto en youtube</t>
  </si>
  <si>
    <t>experto google adwords</t>
  </si>
  <si>
    <t>experto ux</t>
  </si>
  <si>
    <t>expertos en google adwords</t>
  </si>
  <si>
    <t>expertos en usabilidad</t>
  </si>
  <si>
    <t>google ads barcelona</t>
  </si>
  <si>
    <t>google adwords barcelona</t>
  </si>
  <si>
    <t>la mejor agencia seo</t>
  </si>
  <si>
    <t>mejores empresas posicionamiento seo</t>
  </si>
  <si>
    <t>optimizacion de conversion</t>
  </si>
  <si>
    <t>posicionamiento barcelona</t>
  </si>
  <si>
    <t>posicionamiento seo prestashop</t>
  </si>
  <si>
    <t>servicio analitica web</t>
  </si>
  <si>
    <t>servicio de desarrollo web</t>
  </si>
  <si>
    <t>servicio desarrollo web</t>
  </si>
  <si>
    <t>servicio youtube</t>
  </si>
  <si>
    <t>servicios de inbound marketing</t>
  </si>
  <si>
    <t>360 agencia digital</t>
  </si>
  <si>
    <t>360 marketing digital</t>
  </si>
  <si>
    <t>ads agencia</t>
  </si>
  <si>
    <t>ads consultoria</t>
  </si>
  <si>
    <t>adwords barcelona</t>
  </si>
  <si>
    <t>adwords consultor</t>
  </si>
  <si>
    <t>adwords empresa</t>
  </si>
  <si>
    <t>adwords empresas</t>
  </si>
  <si>
    <t>agencia ads</t>
  </si>
  <si>
    <t>agencia adwords en barcelona</t>
  </si>
  <si>
    <t>agencia analitica</t>
  </si>
  <si>
    <t>agencia analitica web barcelona</t>
  </si>
  <si>
    <t>agencia anuncios google</t>
  </si>
  <si>
    <t>agencia consultora de marketing</t>
  </si>
  <si>
    <t>agencia content marketing</t>
  </si>
  <si>
    <t>agencia conversion rate optimization</t>
  </si>
  <si>
    <t>agencia de ads</t>
  </si>
  <si>
    <t>agencia de analitica web</t>
  </si>
  <si>
    <t>agencia de content marketing</t>
  </si>
  <si>
    <t>agencia de inbound</t>
  </si>
  <si>
    <t>agencia de inbound marketing barcelona</t>
  </si>
  <si>
    <t>agencia de inbound marketing en barcelona</t>
  </si>
  <si>
    <t>agencia de instagram ads</t>
  </si>
  <si>
    <t>agencia de marketing 360</t>
  </si>
  <si>
    <t>agencia de marketing digital 360</t>
  </si>
  <si>
    <t>agencia de marketing google adwords</t>
  </si>
  <si>
    <t>agencia de marketing y publicidad digital</t>
  </si>
  <si>
    <t>agencia de mercadotecnia</t>
  </si>
  <si>
    <t>agencia de ppc</t>
  </si>
  <si>
    <t>agencia de publicidad en facebook</t>
  </si>
  <si>
    <t>agencia de seo en barcelona</t>
  </si>
  <si>
    <t>agencia de ux</t>
  </si>
  <si>
    <t>agencia de youtube</t>
  </si>
  <si>
    <t>agencia desarrollo web barcelona</t>
  </si>
  <si>
    <t>agencia digital de marketing online</t>
  </si>
  <si>
    <t>agencia digital ecommerce</t>
  </si>
  <si>
    <t>agencia facebook ads barcelona</t>
  </si>
  <si>
    <t>agencia funnels</t>
  </si>
  <si>
    <t>agencia google partner premier</t>
  </si>
  <si>
    <t>agencia marketing digital seo</t>
  </si>
  <si>
    <t>agencia ppc barcelona</t>
  </si>
  <si>
    <t>agencia sem en barcelona</t>
  </si>
  <si>
    <t>agencia seo buenos aires</t>
  </si>
  <si>
    <t>agencia seo de posicionamiento web</t>
  </si>
  <si>
    <t>agencia seo marketing</t>
  </si>
  <si>
    <t>agencia user experience</t>
  </si>
  <si>
    <t>agencia youtube</t>
  </si>
  <si>
    <t>agencias de e commerce</t>
  </si>
  <si>
    <t>agencias de ux</t>
  </si>
  <si>
    <t>amazon agencia</t>
  </si>
  <si>
    <t>analitica web barcelona</t>
  </si>
  <si>
    <t>asesoria de marketing digital</t>
  </si>
  <si>
    <t>asesoria de marketing y publicidad</t>
  </si>
  <si>
    <t>asesoria en marketing y publicidad</t>
  </si>
  <si>
    <t>asesoria marketing online</t>
  </si>
  <si>
    <t>asesoria posicionamiento web</t>
  </si>
  <si>
    <t>asesoría de marketing digital</t>
  </si>
  <si>
    <t>automatizacion de ventas</t>
  </si>
  <si>
    <t>consultor adwords barcelona</t>
  </si>
  <si>
    <t>consultor de adwords</t>
  </si>
  <si>
    <t>consultor de desarrollo</t>
  </si>
  <si>
    <t>consultor de facebook ads</t>
  </si>
  <si>
    <t>consultor de google ads</t>
  </si>
  <si>
    <t>consultor de inbound marketing</t>
  </si>
  <si>
    <t>consultor de usabilidad</t>
  </si>
  <si>
    <t>consultor google analytics</t>
  </si>
  <si>
    <t>consultor inbound marketing</t>
  </si>
  <si>
    <t>consultor instagram ads</t>
  </si>
  <si>
    <t>consultor marketing online barcelona</t>
  </si>
  <si>
    <t>consultor ppc</t>
  </si>
  <si>
    <t>consultor sem barcelona</t>
  </si>
  <si>
    <t>consultor seo profesional</t>
  </si>
  <si>
    <t>consultor usabilidad</t>
  </si>
  <si>
    <t>consultor youtube</t>
  </si>
  <si>
    <t>consultoria de adwords</t>
  </si>
  <si>
    <t>consultoria de amazon</t>
  </si>
  <si>
    <t>consultoria de facebook ads</t>
  </si>
  <si>
    <t>consultoria de google ads</t>
  </si>
  <si>
    <t>consultoria de ux</t>
  </si>
  <si>
    <t>consultoria sem barcelona</t>
  </si>
  <si>
    <t>consultoria youtube</t>
  </si>
  <si>
    <t>content marketing agencia</t>
  </si>
  <si>
    <t>content marketing barcelona</t>
  </si>
  <si>
    <t>contratar consultor seo</t>
  </si>
  <si>
    <t>crear embudo de ventas</t>
  </si>
  <si>
    <t>desarrollo web en barcelona</t>
  </si>
  <si>
    <t>embudo de clientes</t>
  </si>
  <si>
    <t>empresa adwords barcelona</t>
  </si>
  <si>
    <t>empresa amazon barcelona</t>
  </si>
  <si>
    <t>empresa amazon en barcelona</t>
  </si>
  <si>
    <t>empresa analitica</t>
  </si>
  <si>
    <t>empresa de adwords</t>
  </si>
  <si>
    <t>empresa de content marketing</t>
  </si>
  <si>
    <t>empresa de desarrollo web barcelona</t>
  </si>
  <si>
    <t>empresa de facebook ads</t>
  </si>
  <si>
    <t>empresa de google ads</t>
  </si>
  <si>
    <t>empresa de google adwords</t>
  </si>
  <si>
    <t>empresa de google analytics</t>
  </si>
  <si>
    <t>empresa de inbound marketing</t>
  </si>
  <si>
    <t>empresa de marketing online barcelona</t>
  </si>
  <si>
    <t>empresa de sem</t>
  </si>
  <si>
    <t>empresa de ux</t>
  </si>
  <si>
    <t>empresa facebook ads</t>
  </si>
  <si>
    <t>empresa google adwords</t>
  </si>
  <si>
    <t>empresa google analytics</t>
  </si>
  <si>
    <t>empresa marketing online barcelona</t>
  </si>
  <si>
    <t>empresa posicionamiento organico</t>
  </si>
  <si>
    <t>empresa posicionamiento seo barcelona</t>
  </si>
  <si>
    <t>empresa sem barcelona</t>
  </si>
  <si>
    <t>empresa ux</t>
  </si>
  <si>
    <t>empresas de usabilidad</t>
  </si>
  <si>
    <t>estrategia de embudo de ventas</t>
  </si>
  <si>
    <t>estrategias para conseguir clientes</t>
  </si>
  <si>
    <t>etapas embudo de ventas</t>
  </si>
  <si>
    <t>experto de marketing digital</t>
  </si>
  <si>
    <t>experto de seo</t>
  </si>
  <si>
    <t>experto en analitica web</t>
  </si>
  <si>
    <t>experto en desarrollo</t>
  </si>
  <si>
    <t>experto en inbound marketing</t>
  </si>
  <si>
    <t>experto en ppc</t>
  </si>
  <si>
    <t>experto google analytics</t>
  </si>
  <si>
    <t>experto inbound marketing</t>
  </si>
  <si>
    <t>experto seo en barcelona</t>
  </si>
  <si>
    <t>facebook ads barcelona</t>
  </si>
  <si>
    <t>funnel de ventas digital</t>
  </si>
  <si>
    <t>gestion campañas sem</t>
  </si>
  <si>
    <t>google ads empresa</t>
  </si>
  <si>
    <t>google ads experto</t>
  </si>
  <si>
    <t>google ads para agencias</t>
  </si>
  <si>
    <t>google adwords empresa</t>
  </si>
  <si>
    <t>google adwords empresas</t>
  </si>
  <si>
    <t>google adwords experto</t>
  </si>
  <si>
    <t>google analytics barcelona</t>
  </si>
  <si>
    <t>google analytics empresa</t>
  </si>
  <si>
    <t>google partners empresas</t>
  </si>
  <si>
    <t>google partners mexico</t>
  </si>
  <si>
    <t>inbound agencia</t>
  </si>
  <si>
    <t>inbound marketing consultor</t>
  </si>
  <si>
    <t>la mejor agencia de marketing digital</t>
  </si>
  <si>
    <t>marketing digital asesoria</t>
  </si>
  <si>
    <t>marketing digital automatizado</t>
  </si>
  <si>
    <t>marketing digital consultor</t>
  </si>
  <si>
    <t>mejores agencias de inbound marketing</t>
  </si>
  <si>
    <t>partners google ads</t>
  </si>
  <si>
    <t>pasos del embudo de ventas</t>
  </si>
  <si>
    <t>posicionamiento en buscadores barcelona</t>
  </si>
  <si>
    <t>posicionamiento seo marketing digital</t>
  </si>
  <si>
    <t>posicionamiento web marketing digital</t>
  </si>
  <si>
    <t>posicionamiento web seo barcelona</t>
  </si>
  <si>
    <t>posicionar pagina web wordpress</t>
  </si>
  <si>
    <t>posicionar wordpress en google</t>
  </si>
  <si>
    <t>ppc barcelona</t>
  </si>
  <si>
    <t>precio consultoria seo</t>
  </si>
  <si>
    <t>sem agencia</t>
  </si>
  <si>
    <t>sem agencias</t>
  </si>
  <si>
    <t>sem experto</t>
  </si>
  <si>
    <t>seo marketing web</t>
  </si>
  <si>
    <t>seo para amazon</t>
  </si>
  <si>
    <t>seo sem barcelona</t>
  </si>
  <si>
    <t>seo y sem barcelona</t>
  </si>
  <si>
    <t>servicio de desarrollo</t>
  </si>
  <si>
    <t>servicio de posicionamiento en google</t>
  </si>
  <si>
    <t>servicio de youtube</t>
  </si>
  <si>
    <t>servicio facebook ads</t>
  </si>
  <si>
    <t>servicio google adwords</t>
  </si>
  <si>
    <t>servicio inbound marketing</t>
  </si>
  <si>
    <t>servicio marketing digital barcelona</t>
  </si>
  <si>
    <t>servicios de adwords</t>
  </si>
  <si>
    <t>servicios de agencia de marketing digital</t>
  </si>
  <si>
    <t>servicios de analitica</t>
  </si>
  <si>
    <t>servicios de analitica web</t>
  </si>
  <si>
    <t>servicios de desarrollo</t>
  </si>
  <si>
    <t>servicios de facebook ads</t>
  </si>
  <si>
    <t>servicios de google ads</t>
  </si>
  <si>
    <t>servicios de google adwords</t>
  </si>
  <si>
    <t>servicios de google analytics</t>
  </si>
  <si>
    <t>servicios de sem</t>
  </si>
  <si>
    <t>servicios de ux</t>
  </si>
  <si>
    <t>servicios de youtube</t>
  </si>
  <si>
    <t>servicios posicionamiento web barcelona</t>
  </si>
  <si>
    <t>user experience barcelona</t>
  </si>
  <si>
    <t>ux agencia</t>
  </si>
  <si>
    <t>ux consultoria</t>
  </si>
  <si>
    <t>ux empresa</t>
  </si>
  <si>
    <t>youtube agencia</t>
  </si>
  <si>
    <t>youtube consultor</t>
  </si>
  <si>
    <t>youtube servicio</t>
  </si>
  <si>
    <t>ppc consultoria</t>
  </si>
  <si>
    <t>agencia cro</t>
  </si>
  <si>
    <t>agencia de cro</t>
  </si>
  <si>
    <t>consultoria cro</t>
  </si>
  <si>
    <t>cro barcelona</t>
  </si>
  <si>
    <t>cro consultoria</t>
  </si>
  <si>
    <t>empresa cro</t>
  </si>
  <si>
    <t>experto en cro</t>
  </si>
  <si>
    <t>empresa de marketing digital</t>
  </si>
  <si>
    <t>agencia posicionamiento web</t>
  </si>
  <si>
    <t>agencias de marketing y publicidad</t>
  </si>
  <si>
    <t>empresa posicionamiento web</t>
  </si>
  <si>
    <t>empresa posicionamiento seo</t>
  </si>
  <si>
    <t>agencia adwords</t>
  </si>
  <si>
    <t>consultoria seo</t>
  </si>
  <si>
    <t>agencia ecommerce</t>
  </si>
  <si>
    <t>servicios de seo</t>
  </si>
  <si>
    <t>agencia google adwords</t>
  </si>
  <si>
    <t>expertos en google ads</t>
  </si>
  <si>
    <t>agencia de google adwords</t>
  </si>
  <si>
    <t>experto adwords</t>
  </si>
  <si>
    <t>seo consultoria</t>
  </si>
  <si>
    <t>agencia auditoria seo</t>
  </si>
  <si>
    <t>10.0</t>
  </si>
  <si>
    <t>agencia consultoria</t>
  </si>
  <si>
    <t>140.0</t>
  </si>
  <si>
    <t>390.0</t>
  </si>
  <si>
    <t>6600.0</t>
  </si>
  <si>
    <t>210.0</t>
  </si>
  <si>
    <t>especialista posicionamiento seo</t>
  </si>
  <si>
    <t>720.0</t>
  </si>
  <si>
    <t>especialistas seo</t>
  </si>
  <si>
    <t>experto consultoria</t>
  </si>
  <si>
    <t>experto posicionamiento</t>
  </si>
  <si>
    <t>experto posicionamiento seo</t>
  </si>
  <si>
    <t>1000.0</t>
  </si>
  <si>
    <t>30.0</t>
  </si>
  <si>
    <t>profesional seo</t>
  </si>
  <si>
    <t>40.0</t>
  </si>
  <si>
    <t>servicio auditoria</t>
  </si>
  <si>
    <t>servicio auditoria seo</t>
  </si>
  <si>
    <t>70.0</t>
  </si>
  <si>
    <t>480.0</t>
  </si>
  <si>
    <t>servicio seo local</t>
  </si>
  <si>
    <t>servicios consultoría</t>
  </si>
  <si>
    <t>50.0</t>
  </si>
  <si>
    <t>agencia</t>
  </si>
  <si>
    <t>agencias</t>
  </si>
  <si>
    <t>experto</t>
  </si>
  <si>
    <t>expertos</t>
  </si>
  <si>
    <t>especialista</t>
  </si>
  <si>
    <t>especialistas</t>
  </si>
  <si>
    <t>profesional</t>
  </si>
  <si>
    <t>profesionales</t>
  </si>
  <si>
    <t>servicio</t>
  </si>
  <si>
    <t>servicios</t>
  </si>
  <si>
    <t>asesor</t>
  </si>
  <si>
    <t>asesoría</t>
  </si>
  <si>
    <t>asesoria</t>
  </si>
  <si>
    <t>experta</t>
  </si>
  <si>
    <t>expertas</t>
  </si>
  <si>
    <t>empresa</t>
  </si>
  <si>
    <t>empresas</t>
  </si>
  <si>
    <t>asesora</t>
  </si>
  <si>
    <t>asesoras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</si>
  <si>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</si>
  <si>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</si>
  <si>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</si>
  <si>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</si>
  <si>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</si>
  <si>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</si>
  <si>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</si>
  <si>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</si>
  <si>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</si>
  <si>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</si>
  <si>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</si>
  <si>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</si>
  <si>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cro empresa</t>
  </si>
  <si>
    <t>agencias seo</t>
  </si>
  <si>
    <t>especialista marketing</t>
  </si>
  <si>
    <t>experto marketing</t>
  </si>
  <si>
    <t>expertos marketing</t>
  </si>
  <si>
    <t>expertos seo</t>
  </si>
  <si>
    <t>profesional marketing</t>
  </si>
  <si>
    <t>profesionales marketing</t>
  </si>
  <si>
    <t>servicio marketing</t>
  </si>
  <si>
    <t>servicios seo</t>
  </si>
  <si>
    <t>agencia facebook</t>
  </si>
  <si>
    <t>agencia instagram</t>
  </si>
  <si>
    <t>agencia twitter</t>
  </si>
  <si>
    <t>especialista facebook</t>
  </si>
  <si>
    <t>especialista instagram</t>
  </si>
  <si>
    <t>especialista redes sociales</t>
  </si>
  <si>
    <t>especialista youtube</t>
  </si>
  <si>
    <t>experto facebook</t>
  </si>
  <si>
    <t>experto instagram</t>
  </si>
  <si>
    <t>experto redes sociales</t>
  </si>
  <si>
    <t>facebook seo</t>
  </si>
  <si>
    <t>instagram seo</t>
  </si>
  <si>
    <t>profesional facebook</t>
  </si>
  <si>
    <t>profesional instagram</t>
  </si>
  <si>
    <t>profesional redes sociales</t>
  </si>
  <si>
    <t>redes sociales seo</t>
  </si>
  <si>
    <t>servicio facebook</t>
  </si>
  <si>
    <t>servicio instagram</t>
  </si>
  <si>
    <t>servicios instagram</t>
  </si>
  <si>
    <t>servicios twitter</t>
  </si>
  <si>
    <t>twitter seo</t>
  </si>
  <si>
    <t>youtube seo</t>
  </si>
  <si>
    <t>agencia linkbuilding</t>
  </si>
  <si>
    <t>servicio linkbuilding</t>
  </si>
  <si>
    <t>agencia analytics</t>
  </si>
  <si>
    <t>agencia analítica</t>
  </si>
  <si>
    <t>empresa analytics</t>
  </si>
  <si>
    <t>especialista analytics</t>
  </si>
  <si>
    <t>servicios analitica</t>
  </si>
  <si>
    <t>agencia analitica digital</t>
  </si>
  <si>
    <t>servicios analitica digital</t>
  </si>
  <si>
    <t>asesor marketing digital</t>
  </si>
  <si>
    <t>especialista marketing digital</t>
  </si>
  <si>
    <t>expertos marketing digital</t>
  </si>
  <si>
    <t>profesional marketing digital</t>
  </si>
  <si>
    <t>profesionales marketing digital</t>
  </si>
  <si>
    <t>asesor seo</t>
  </si>
  <si>
    <t>asesoría seo</t>
  </si>
  <si>
    <t>experta seo</t>
  </si>
  <si>
    <t>especialista cro</t>
  </si>
  <si>
    <t>servicios cro</t>
  </si>
  <si>
    <t>empresa seo internacional</t>
  </si>
  <si>
    <t>experto seo internacional</t>
  </si>
  <si>
    <t>servicio seo internacional</t>
  </si>
  <si>
    <t>agencia ppc internacional</t>
  </si>
  <si>
    <t>agencia sem internacional</t>
  </si>
  <si>
    <t>especialista ppc</t>
  </si>
  <si>
    <t>especialista sem</t>
  </si>
  <si>
    <t>sem especialista</t>
  </si>
  <si>
    <t>servicio ppc</t>
  </si>
  <si>
    <t>servicio ppc barcelona</t>
  </si>
  <si>
    <t>servicio ppc internacional</t>
  </si>
  <si>
    <t>servicio sem barcelona</t>
  </si>
  <si>
    <t>servicio sem internacional</t>
  </si>
  <si>
    <t>servicios ppc barcelona</t>
  </si>
  <si>
    <t>empresa publicidad digital</t>
  </si>
  <si>
    <t>agencia aditoria seo</t>
  </si>
  <si>
    <t>facebook ads empresas</t>
  </si>
  <si>
    <t>google ads empresas</t>
  </si>
  <si>
    <t>google ads especialistas</t>
  </si>
  <si>
    <t>google ads profesional</t>
  </si>
  <si>
    <t>agencia google shopping</t>
  </si>
  <si>
    <t>empresa seo local</t>
  </si>
  <si>
    <t>especialista seo wordpress</t>
  </si>
  <si>
    <t>experto seo prestashop</t>
  </si>
  <si>
    <t>experto seo wordpress</t>
  </si>
  <si>
    <t>agencia ads barcelona</t>
  </si>
  <si>
    <t>agencia seo local barcelona</t>
  </si>
  <si>
    <t>agencia youtube ads</t>
  </si>
  <si>
    <t>agencia youtube ads barcelona</t>
  </si>
  <si>
    <t>asesor google ads</t>
  </si>
  <si>
    <t>asesoria facebook ads</t>
  </si>
  <si>
    <t>asesoria google ads</t>
  </si>
  <si>
    <t>empresa google ads</t>
  </si>
  <si>
    <t>especialista facebook ads</t>
  </si>
  <si>
    <t>especialista google ads barcelona</t>
  </si>
  <si>
    <t>especialista seo barcelona</t>
  </si>
  <si>
    <t>expertos seo barcelona</t>
  </si>
  <si>
    <t>servicio facebook ads barcelona</t>
  </si>
  <si>
    <t>servicio google ads</t>
  </si>
  <si>
    <t>servicio google ads barcelona</t>
  </si>
  <si>
    <t>servicios seo barcelona</t>
  </si>
  <si>
    <t>social ads barcelona</t>
  </si>
  <si>
    <t>agencia marketing b2b</t>
  </si>
  <si>
    <t>agencia marketing b2b barcelona</t>
  </si>
  <si>
    <t>agencia marketing barcelona</t>
  </si>
  <si>
    <t>agencia marketing digital b2b</t>
  </si>
  <si>
    <t>agencias marketing digital barcelona</t>
  </si>
  <si>
    <t>asesor marketing</t>
  </si>
  <si>
    <t>asesoria marketing</t>
  </si>
  <si>
    <t>asesoría marketing</t>
  </si>
  <si>
    <t>empresa marketing b2b</t>
  </si>
  <si>
    <t>empresa marketing barcelona</t>
  </si>
  <si>
    <t>servicios marketing barcelona</t>
  </si>
  <si>
    <t>servicios marketing digital barcelona</t>
  </si>
  <si>
    <t>campañas ppc barcelona</t>
  </si>
  <si>
    <t>campañas sem barcelona</t>
  </si>
  <si>
    <t>agencia diseño web barcelona</t>
  </si>
  <si>
    <t>agencia marketing industrial barcelona</t>
  </si>
  <si>
    <t>agencia web barcelona</t>
  </si>
  <si>
    <t>asesoria diseño web</t>
  </si>
  <si>
    <t>diseño web seo barcelona</t>
  </si>
  <si>
    <t>empresa diseño</t>
  </si>
  <si>
    <t>empresa diseño barcelona</t>
  </si>
  <si>
    <t>empresa diseño web</t>
  </si>
  <si>
    <t>empresa diseño web barcelona</t>
  </si>
  <si>
    <t>empresa web</t>
  </si>
  <si>
    <t>empresa web barcelona</t>
  </si>
  <si>
    <t>empresas diseño web barcelona</t>
  </si>
  <si>
    <t>especialista marketing industrial</t>
  </si>
  <si>
    <t>especialista web</t>
  </si>
  <si>
    <t>especialistas web</t>
  </si>
  <si>
    <t>experto diseño web</t>
  </si>
  <si>
    <t>experto web</t>
  </si>
  <si>
    <t>marketing industrial barcelona</t>
  </si>
  <si>
    <t>profesional diseño web</t>
  </si>
  <si>
    <t>profesional web</t>
  </si>
  <si>
    <t>profesionales diseño web</t>
  </si>
  <si>
    <t>profesionales web</t>
  </si>
  <si>
    <t>seo barcelona agencia</t>
  </si>
  <si>
    <t>servicio diseño</t>
  </si>
  <si>
    <t>servicio diseño web</t>
  </si>
  <si>
    <t>servicios web barcelona</t>
  </si>
  <si>
    <t>agencia anuncios barcelona</t>
  </si>
  <si>
    <t>agencia linkedin</t>
  </si>
  <si>
    <t>agencia linkedin ads</t>
  </si>
  <si>
    <t>agencia linkedin ads barcelona</t>
  </si>
  <si>
    <t>agencia linkedin barcelona</t>
  </si>
  <si>
    <t>agencia tiktok</t>
  </si>
  <si>
    <t>agencia tiktok ads</t>
  </si>
  <si>
    <t>asesor linkedin</t>
  </si>
  <si>
    <t>empresa linkedin</t>
  </si>
  <si>
    <t>empresa pinterest</t>
  </si>
  <si>
    <t>empresa tiktok</t>
  </si>
  <si>
    <t>empresas linkedin</t>
  </si>
  <si>
    <t>especialista linkedin</t>
  </si>
  <si>
    <t>experto linkedin</t>
  </si>
  <si>
    <t>linkedin ads barcelona</t>
  </si>
  <si>
    <t>linkedin barcelona</t>
  </si>
  <si>
    <t>pinterest barcelona</t>
  </si>
  <si>
    <t>profesionales linkedin</t>
  </si>
  <si>
    <t>servicio linkedin ads barcelona</t>
  </si>
  <si>
    <t>servicios linkedin</t>
  </si>
  <si>
    <t>tiktok barcelona</t>
  </si>
  <si>
    <t>agencia de contenidos</t>
  </si>
  <si>
    <t>seo profesional</t>
  </si>
  <si>
    <t>contratar servicio seo</t>
  </si>
  <si>
    <t>agencia tag manager</t>
  </si>
  <si>
    <t>agencia de email marketing</t>
  </si>
  <si>
    <t>seo asesor</t>
  </si>
  <si>
    <t>agencia seo ecommerce</t>
  </si>
  <si>
    <t>agencia seo para ecommerce</t>
  </si>
  <si>
    <t>agencia seo shopify</t>
  </si>
  <si>
    <t>contratar auditoria seo</t>
  </si>
  <si>
    <t>contratar experto seo</t>
  </si>
  <si>
    <t>agencia inbound barcelona</t>
  </si>
  <si>
    <t>contratar agencia seo</t>
  </si>
  <si>
    <t>agencia bing ads</t>
  </si>
  <si>
    <t>empresa inbound</t>
  </si>
  <si>
    <t>servicio inbound</t>
  </si>
  <si>
    <t>agencia online marketing</t>
  </si>
  <si>
    <t>empresa digital marketing</t>
  </si>
  <si>
    <t>seo experta</t>
  </si>
  <si>
    <t>seo experto barcelona</t>
  </si>
  <si>
    <t>HOME</t>
  </si>
  <si>
    <t>Búsquedas</t>
  </si>
  <si>
    <t>2 Nivel</t>
  </si>
  <si>
    <t>3 Nivel</t>
  </si>
  <si>
    <t>4 Nivel</t>
  </si>
  <si>
    <t>5 Nivel</t>
  </si>
  <si>
    <t>6 Nivel</t>
  </si>
  <si>
    <t>TOTAL</t>
  </si>
  <si>
    <t>Volumen</t>
  </si>
  <si>
    <t>/auditoria/</t>
  </si>
  <si>
    <t>/barcelona</t>
  </si>
  <si>
    <t>/internacional</t>
  </si>
  <si>
    <t>/ecommerce</t>
  </si>
  <si>
    <t>/shopify</t>
  </si>
  <si>
    <t>/prestashop</t>
  </si>
  <si>
    <t>/linkbuilding</t>
  </si>
  <si>
    <t>/google-ads/</t>
  </si>
  <si>
    <t>/shopping</t>
  </si>
  <si>
    <t>/instagram-ads</t>
  </si>
  <si>
    <t>/facebook-ads</t>
  </si>
  <si>
    <t>/linkedin-ads</t>
  </si>
  <si>
    <t>/tiktok-ads</t>
  </si>
  <si>
    <t>/bing-ads</t>
  </si>
  <si>
    <t>/youtube-ads</t>
  </si>
  <si>
    <t>/tag-manager</t>
  </si>
  <si>
    <t>agencia usabilidad</t>
  </si>
  <si>
    <t>/barcelona/</t>
  </si>
  <si>
    <t>seo agency</t>
  </si>
  <si>
    <t>seo services</t>
  </si>
  <si>
    <t>seo company</t>
  </si>
  <si>
    <t>seo agency barcelona</t>
  </si>
  <si>
    <t>b2b seo agency</t>
  </si>
  <si>
    <t>b2b seo company</t>
  </si>
  <si>
    <t>company marketing seo</t>
  </si>
  <si>
    <t>company seo services</t>
  </si>
  <si>
    <t>complete seo services</t>
  </si>
  <si>
    <t>content marketing agency seo</t>
  </si>
  <si>
    <t>corporate seo services</t>
  </si>
  <si>
    <t>custom seo services</t>
  </si>
  <si>
    <t>digital marketing seo agency</t>
  </si>
  <si>
    <t>digital seo agency</t>
  </si>
  <si>
    <t>digital seo company</t>
  </si>
  <si>
    <t>ecommerce seo agency</t>
  </si>
  <si>
    <t>google seo agency</t>
  </si>
  <si>
    <t>google seo company</t>
  </si>
  <si>
    <t>internet marketing seo company</t>
  </si>
  <si>
    <t>local city seo</t>
  </si>
  <si>
    <t>local seo marketing agency</t>
  </si>
  <si>
    <t>local seo services company</t>
  </si>
  <si>
    <t>magento seo agency</t>
  </si>
  <si>
    <t>marketing agency seo</t>
  </si>
  <si>
    <t>marketing and seo services</t>
  </si>
  <si>
    <t>marketing seo agency</t>
  </si>
  <si>
    <t>marketing seo company</t>
  </si>
  <si>
    <t>mobile seo agency</t>
  </si>
  <si>
    <t>mobile seo company</t>
  </si>
  <si>
    <t>online marketing and seo services</t>
  </si>
  <si>
    <t>online seo agency</t>
  </si>
  <si>
    <t>optimization seo services</t>
  </si>
  <si>
    <t>organic seo agency</t>
  </si>
  <si>
    <t>organic seo company</t>
  </si>
  <si>
    <t>organic seo services</t>
  </si>
  <si>
    <t>search engine optimisation seo services</t>
  </si>
  <si>
    <t>seo agency for ecommerce</t>
  </si>
  <si>
    <t>seo agency near me</t>
  </si>
  <si>
    <t>seo agency services</t>
  </si>
  <si>
    <t>seo agency spain</t>
  </si>
  <si>
    <t>seo and digital marketing services</t>
  </si>
  <si>
    <t>seo and internet marketing services</t>
  </si>
  <si>
    <t>seo audit agency</t>
  </si>
  <si>
    <t>seo audit company</t>
  </si>
  <si>
    <t>seo company in spain</t>
  </si>
  <si>
    <t>seo company spain</t>
  </si>
  <si>
    <t>seo company website</t>
  </si>
  <si>
    <t>seo content agency</t>
  </si>
  <si>
    <t>seo content marketing agency</t>
  </si>
  <si>
    <t>seo content writing agency</t>
  </si>
  <si>
    <t>seo content writing company</t>
  </si>
  <si>
    <t>seo digital agency</t>
  </si>
  <si>
    <t>seo digital company</t>
  </si>
  <si>
    <t>seo digital marketing agency</t>
  </si>
  <si>
    <t>seo expert agency</t>
  </si>
  <si>
    <t>seo expert company</t>
  </si>
  <si>
    <t>seo for b2b companies</t>
  </si>
  <si>
    <t>seo in ecommerce</t>
  </si>
  <si>
    <t>seo internet marketing company</t>
  </si>
  <si>
    <t>seo internet marketing services</t>
  </si>
  <si>
    <t>seo marketing service</t>
  </si>
  <si>
    <t>seo marketing solutions</t>
  </si>
  <si>
    <t>seo online marketing services</t>
  </si>
  <si>
    <t>seo optimization agency</t>
  </si>
  <si>
    <t>seo optimization company</t>
  </si>
  <si>
    <t>seo optimization service</t>
  </si>
  <si>
    <t>seo service online</t>
  </si>
  <si>
    <t>seo services agency</t>
  </si>
  <si>
    <t>seo services company</t>
  </si>
  <si>
    <t>seo services for agencies</t>
  </si>
  <si>
    <t>seo services for ecommerce websites</t>
  </si>
  <si>
    <t>seo services for lawyers</t>
  </si>
  <si>
    <t>seo services seo</t>
  </si>
  <si>
    <t>seo social media marketing services</t>
  </si>
  <si>
    <t>seo specialist company</t>
  </si>
  <si>
    <t>seo specialist services</t>
  </si>
  <si>
    <t>seo web agency</t>
  </si>
  <si>
    <t>seo website design company</t>
  </si>
  <si>
    <t>service seo company</t>
  </si>
  <si>
    <t>shopify seo agency</t>
  </si>
  <si>
    <t>shopify seo services</t>
  </si>
  <si>
    <t>web design seo services</t>
  </si>
  <si>
    <t>web development and seo company</t>
  </si>
  <si>
    <t>website design seo company</t>
  </si>
  <si>
    <t>website seo service</t>
  </si>
  <si>
    <t>white hat seo company</t>
  </si>
  <si>
    <t>wordpress seo agency</t>
  </si>
  <si>
    <t>adwords marketing agency</t>
  </si>
  <si>
    <t>adwords marketing company</t>
  </si>
  <si>
    <t>agency google adwords</t>
  </si>
  <si>
    <t>agency ppc</t>
  </si>
  <si>
    <t>google ads agency</t>
  </si>
  <si>
    <t>sem agency</t>
  </si>
  <si>
    <t>sem company</t>
  </si>
  <si>
    <t>sem marketing agency</t>
  </si>
  <si>
    <t>google ppc management</t>
  </si>
  <si>
    <t>local ppc management</t>
  </si>
  <si>
    <t>local sem company</t>
  </si>
  <si>
    <t>managed ppc services</t>
  </si>
  <si>
    <t>pay per click management company</t>
  </si>
  <si>
    <t>ppc ad management</t>
  </si>
  <si>
    <t>ppc agency</t>
  </si>
  <si>
    <t>ppc campaign management</t>
  </si>
  <si>
    <t>ppc company</t>
  </si>
  <si>
    <t>ppc digital marketing agency</t>
  </si>
  <si>
    <t>ppc management agency</t>
  </si>
  <si>
    <t>ppc management company</t>
  </si>
  <si>
    <t>ppc marketing agency</t>
  </si>
  <si>
    <t>ppc marketing company</t>
  </si>
  <si>
    <t>ppc services</t>
  </si>
  <si>
    <t>sem advertising agency</t>
  </si>
  <si>
    <t>sem in digital marketing</t>
  </si>
  <si>
    <t>sem services company</t>
  </si>
  <si>
    <t>/audit/</t>
  </si>
  <si>
    <t>/mobile/</t>
  </si>
  <si>
    <t>/ecommerce/</t>
  </si>
  <si>
    <t>/magento/</t>
  </si>
  <si>
    <t>/shopify/</t>
  </si>
  <si>
    <t>/wordpress/</t>
  </si>
  <si>
    <t>/local/</t>
  </si>
  <si>
    <t>/content/</t>
  </si>
  <si>
    <t>/for-lawyers/</t>
  </si>
  <si>
    <t>/b2b/</t>
  </si>
  <si>
    <t>/website-design/</t>
  </si>
  <si>
    <t>/social-media/</t>
  </si>
  <si>
    <t>/white-hat/</t>
  </si>
  <si>
    <t>bigseo.com/agencia</t>
  </si>
  <si>
    <t>seria la home de agencia, segundo nivel, dentro de la principal (corporativa)</t>
  </si>
  <si>
    <t>agencia de marketing digital online 360</t>
  </si>
  <si>
    <t>/</t>
  </si>
  <si>
    <t xml:space="preserve"> </t>
  </si>
  <si>
    <t>bigseo.com/expertos-marketing-digital</t>
  </si>
  <si>
    <t>bigseo.com/consultoria-marketing</t>
  </si>
  <si>
    <t>bigseo.com/consultor-marketing</t>
  </si>
  <si>
    <t>bigseo.com/agencia-barcelona</t>
  </si>
  <si>
    <t>SERVICIOS</t>
  </si>
  <si>
    <t>Sera desplegable/no clicable</t>
  </si>
  <si>
    <t>bigseo.com/agencia/seo</t>
  </si>
  <si>
    <t>/consultor-seo</t>
  </si>
  <si>
    <t>/consultor-seo-barcelona</t>
  </si>
  <si>
    <t>bigseo.com/seo-barcelona</t>
  </si>
  <si>
    <t>bigseo.com/posicionamiento-seo</t>
  </si>
  <si>
    <t>bigseo.com/seo-local</t>
  </si>
  <si>
    <t>bigseo.com/seo-local-barcelona</t>
  </si>
  <si>
    <r>
      <rPr>
        <b/>
        <u/>
        <sz val="10"/>
        <color rgb="FF1155CC"/>
        <rFont val="Arial"/>
        <family val="2"/>
      </rPr>
      <t>bigseo.com/dise</t>
    </r>
    <r>
      <rPr>
        <b/>
        <u/>
        <sz val="10"/>
        <color rgb="FF000000"/>
        <rFont val="Arial"/>
        <family val="2"/>
      </rPr>
      <t>ño-web-seo</t>
    </r>
  </si>
  <si>
    <t>bigseo.com/seo-amazon</t>
  </si>
  <si>
    <t>bigseo.com/seo-ecommerce</t>
  </si>
  <si>
    <t>bigseo.com/seo-wordpress</t>
  </si>
  <si>
    <t>bigseo.com/seo-prestashop</t>
  </si>
  <si>
    <t>bigseo.com/seo-youtube</t>
  </si>
  <si>
    <t>bigseo.com/seo-internacional</t>
  </si>
  <si>
    <t>bigseo.com/agencia-analitica-web</t>
  </si>
  <si>
    <t>/agencia-seo/</t>
  </si>
  <si>
    <t>LOCAL</t>
  </si>
  <si>
    <t>bigseo.com</t>
  </si>
  <si>
    <t>/agencia-sem/</t>
  </si>
  <si>
    <t>/agencia-inbound-marketing</t>
  </si>
  <si>
    <t>/agencia-funnels/</t>
  </si>
  <si>
    <t>/agencia-email-marketing/</t>
  </si>
  <si>
    <t>/agencia-marketing-contenidos/</t>
  </si>
  <si>
    <t>/agencia-analitica-web/</t>
  </si>
  <si>
    <t>/agencia-cro</t>
  </si>
  <si>
    <t>/agencia-ux/</t>
  </si>
  <si>
    <t>/agencia-diseno-web/</t>
  </si>
  <si>
    <t>/agencia-marketing-barcelona/</t>
  </si>
  <si>
    <t>/seo-agency/</t>
  </si>
  <si>
    <t>/en/</t>
  </si>
  <si>
    <t>/sem-agency/</t>
  </si>
  <si>
    <t>/google-my-business/</t>
  </si>
  <si>
    <t>/social-ads/</t>
  </si>
  <si>
    <t>/amazon-ads/</t>
  </si>
  <si>
    <t>/agencia-copywriting/</t>
  </si>
  <si>
    <t>/agencia-ecommerce</t>
  </si>
  <si>
    <t>/agencia-marketing-b2b-industrial/</t>
  </si>
  <si>
    <t>/agencia-marketing-pymes/</t>
  </si>
  <si>
    <t>digital marketing agency</t>
  </si>
  <si>
    <t>digital marketing agency in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</si>
</sst>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2"/>
      <color rgb="FF333333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1155CC"/>
      <name val="Arial"/>
      <family val="2"/>
    </font>
    <font>
      <b/>
      <u/>
      <sz val="11"/>
      <color rgb="FF0000FF"/>
      <name val="Calibri"/>
      <family val="2"/>
    </font>
    <font>
      <b/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u/>
      <sz val="10"/>
      <color rgb="FF1155CC"/>
      <name val="Arial"/>
      <family val="2"/>
      <scheme val="minor"/>
    </font>
    <font>
      <b/>
      <u/>
      <sz val="10"/>
      <color rgb="FF1155CC"/>
      <name val="Arial"/>
      <family val="2"/>
      <scheme val="minor"/>
    </font>
    <font>
      <b/>
      <u/>
      <sz val="10"/>
      <color rgb="FF1155CC"/>
      <name val="Arial"/>
      <family val="2"/>
    </font>
    <font>
      <sz val="11"/>
      <color rgb="FFFBAF78"/>
      <name val="Calibri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62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C000"/>
        <bgColor rgb="FFFFC000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  <fill>
      <patternFill patternType="solid">
        <fgColor rgb="FFB1D580"/>
        <bgColor rgb="FFB1D580"/>
      </patternFill>
    </fill>
    <fill>
      <patternFill patternType="solid">
        <fgColor rgb="FF63BE7B"/>
        <bgColor rgb="FF63BE7B"/>
      </patternFill>
    </fill>
    <fill>
      <patternFill patternType="solid">
        <fgColor rgb="FFCCDD82"/>
        <bgColor rgb="FFCCDD82"/>
      </patternFill>
    </fill>
    <fill>
      <patternFill patternType="solid">
        <fgColor rgb="FFC1DA81"/>
        <bgColor rgb="FFC1DA81"/>
      </patternFill>
    </fill>
    <fill>
      <patternFill patternType="solid">
        <fgColor rgb="FFFBA075"/>
        <bgColor rgb="FFFBA075"/>
      </patternFill>
    </fill>
    <fill>
      <patternFill patternType="solid">
        <fgColor rgb="FFD3DF82"/>
        <bgColor rgb="FFD3DF82"/>
      </patternFill>
    </fill>
    <fill>
      <patternFill patternType="solid">
        <fgColor rgb="FFFA9473"/>
        <bgColor rgb="FFFA9473"/>
      </patternFill>
    </fill>
    <fill>
      <patternFill patternType="solid">
        <fgColor rgb="FFFCBF7B"/>
        <bgColor rgb="FFFCBF7B"/>
      </patternFill>
    </fill>
    <fill>
      <patternFill patternType="solid">
        <fgColor rgb="FFEEE683"/>
        <bgColor rgb="FFEEE683"/>
      </patternFill>
    </fill>
    <fill>
      <patternFill patternType="solid">
        <fgColor rgb="FFD8E082"/>
        <bgColor rgb="FFD8E082"/>
      </patternFill>
    </fill>
    <fill>
      <patternFill patternType="solid">
        <fgColor rgb="FFFBAA77"/>
        <bgColor rgb="FFFBAA77"/>
      </patternFill>
    </fill>
    <fill>
      <patternFill patternType="solid">
        <fgColor rgb="FFF5E884"/>
        <bgColor rgb="FFF5E884"/>
      </patternFill>
    </fill>
    <fill>
      <patternFill patternType="solid">
        <fgColor rgb="FFDAE182"/>
        <bgColor rgb="FFDAE182"/>
      </patternFill>
    </fill>
    <fill>
      <patternFill patternType="solid">
        <fgColor rgb="FFB9D780"/>
        <bgColor rgb="FFB9D780"/>
      </patternFill>
    </fill>
    <fill>
      <patternFill patternType="solid">
        <fgColor rgb="FFF1E784"/>
        <bgColor rgb="FFF1E784"/>
      </patternFill>
    </fill>
    <fill>
      <patternFill patternType="solid">
        <fgColor rgb="FFD5DF82"/>
        <bgColor rgb="FFD5DF82"/>
      </patternFill>
    </fill>
    <fill>
      <patternFill patternType="solid">
        <fgColor rgb="FFB5D680"/>
        <bgColor rgb="FFB5D680"/>
      </patternFill>
    </fill>
    <fill>
      <patternFill patternType="solid">
        <fgColor rgb="FF90CB7E"/>
        <bgColor rgb="FF90CB7E"/>
      </patternFill>
    </fill>
    <fill>
      <patternFill patternType="solid">
        <fgColor rgb="FFAAD380"/>
        <bgColor rgb="FFAAD380"/>
      </patternFill>
    </fill>
    <fill>
      <patternFill patternType="solid">
        <fgColor rgb="FFFDC77D"/>
        <bgColor rgb="FFFDC77D"/>
      </patternFill>
    </fill>
    <fill>
      <patternFill patternType="solid">
        <fgColor rgb="FFFBA476"/>
        <bgColor rgb="FFFBA476"/>
      </patternFill>
    </fill>
    <fill>
      <patternFill patternType="solid">
        <fgColor rgb="FFBBD881"/>
        <bgColor rgb="FFBBD881"/>
      </patternFill>
    </fill>
    <fill>
      <patternFill patternType="solid">
        <fgColor rgb="FFBAD780"/>
        <bgColor rgb="FFBAD780"/>
      </patternFill>
    </fill>
    <fill>
      <patternFill patternType="solid">
        <fgColor rgb="FFE9E583"/>
        <bgColor rgb="FFE9E583"/>
      </patternFill>
    </fill>
    <fill>
      <patternFill patternType="solid">
        <fgColor rgb="FFBDD881"/>
        <bgColor rgb="FFBDD881"/>
      </patternFill>
    </fill>
    <fill>
      <patternFill patternType="solid">
        <fgColor rgb="FFC9DC81"/>
        <bgColor rgb="FFC9DC81"/>
      </patternFill>
    </fill>
    <fill>
      <patternFill patternType="solid">
        <fgColor rgb="FFF0E784"/>
        <bgColor rgb="FFF0E784"/>
      </patternFill>
    </fill>
    <fill>
      <patternFill patternType="solid">
        <fgColor rgb="FFFCB97A"/>
        <bgColor rgb="FFFCB97A"/>
      </patternFill>
    </fill>
    <fill>
      <patternFill patternType="solid">
        <fgColor rgb="FFFA9272"/>
        <bgColor rgb="FFFA9272"/>
      </patternFill>
    </fill>
    <fill>
      <patternFill patternType="solid">
        <fgColor rgb="FFFCB579"/>
        <bgColor rgb="FFFCB579"/>
      </patternFill>
    </fill>
    <fill>
      <patternFill patternType="solid">
        <fgColor rgb="FFFDCD7E"/>
        <bgColor rgb="FFFDCD7E"/>
      </patternFill>
    </fill>
    <fill>
      <patternFill patternType="solid">
        <fgColor rgb="FFA3D17F"/>
        <bgColor rgb="FFA3D17F"/>
      </patternFill>
    </fill>
    <fill>
      <patternFill patternType="solid">
        <fgColor rgb="FFFBEA84"/>
        <bgColor rgb="FFFBEA84"/>
      </patternFill>
    </fill>
    <fill>
      <patternFill patternType="solid">
        <fgColor rgb="FFFDD17F"/>
        <bgColor rgb="FFFDD17F"/>
      </patternFill>
    </fill>
    <fill>
      <patternFill patternType="solid">
        <fgColor rgb="FFFA9D75"/>
        <bgColor rgb="FFFA9D75"/>
      </patternFill>
    </fill>
    <fill>
      <patternFill patternType="solid">
        <fgColor rgb="FFFCB77A"/>
        <bgColor rgb="FFFCB77A"/>
      </patternFill>
    </fill>
    <fill>
      <patternFill patternType="solid">
        <fgColor rgb="FFD6E082"/>
        <bgColor rgb="FFD6E082"/>
      </patternFill>
    </fill>
    <fill>
      <patternFill patternType="solid">
        <fgColor rgb="FFA2D07F"/>
        <bgColor rgb="FFA2D07F"/>
      </patternFill>
    </fill>
    <fill>
      <patternFill patternType="solid">
        <fgColor rgb="FFE0E383"/>
        <bgColor rgb="FFE0E383"/>
      </patternFill>
    </fill>
    <fill>
      <patternFill patternType="solid">
        <fgColor rgb="FFF6E984"/>
        <bgColor rgb="FFF6E984"/>
      </patternFill>
    </fill>
    <fill>
      <patternFill patternType="solid">
        <fgColor rgb="FFA6D27F"/>
        <bgColor rgb="FFA6D27F"/>
      </patternFill>
    </fill>
    <fill>
      <patternFill patternType="solid">
        <fgColor rgb="FFFCB379"/>
        <bgColor rgb="FFFCB379"/>
      </patternFill>
    </fill>
    <fill>
      <patternFill patternType="solid">
        <fgColor rgb="FF9ECF7F"/>
        <bgColor rgb="FF9ECF7F"/>
      </patternFill>
    </fill>
    <fill>
      <patternFill patternType="solid">
        <fgColor rgb="FF98CE7F"/>
        <bgColor rgb="FF98CE7F"/>
      </patternFill>
    </fill>
    <fill>
      <patternFill patternType="solid">
        <fgColor rgb="FFE5E483"/>
        <bgColor rgb="FFE5E483"/>
      </patternFill>
    </fill>
    <fill>
      <patternFill patternType="solid">
        <fgColor rgb="FFC4DA81"/>
        <bgColor rgb="FFC4DA81"/>
      </patternFill>
    </fill>
    <fill>
      <patternFill patternType="solid">
        <fgColor rgb="FFF4E884"/>
        <bgColor rgb="FFF4E884"/>
      </patternFill>
    </fill>
    <fill>
      <patternFill patternType="solid">
        <fgColor rgb="FFFDCA7D"/>
        <bgColor rgb="FFFDCA7D"/>
      </patternFill>
    </fill>
    <fill>
      <patternFill patternType="solid">
        <fgColor rgb="FFC5DB81"/>
        <bgColor rgb="FFC5DB81"/>
      </patternFill>
    </fill>
    <fill>
      <patternFill patternType="solid">
        <fgColor rgb="FFFBA376"/>
        <bgColor rgb="FFFBA376"/>
      </patternFill>
    </fill>
    <fill>
      <patternFill patternType="solid">
        <fgColor rgb="FFA4D17F"/>
        <bgColor rgb="FFA4D17F"/>
      </patternFill>
    </fill>
    <fill>
      <patternFill patternType="solid">
        <fgColor rgb="FFD2DE82"/>
        <bgColor rgb="FFD2DE82"/>
      </patternFill>
    </fill>
    <fill>
      <patternFill patternType="solid">
        <fgColor rgb="FFE4E483"/>
        <bgColor rgb="FFE4E483"/>
      </patternFill>
    </fill>
    <fill>
      <patternFill patternType="solid">
        <fgColor rgb="FF8ACA7E"/>
        <bgColor rgb="FF8ACA7E"/>
      </patternFill>
    </fill>
    <fill>
      <patternFill patternType="solid">
        <fgColor rgb="FFFBA576"/>
        <bgColor rgb="FFFBA576"/>
      </patternFill>
    </fill>
    <fill>
      <patternFill patternType="solid">
        <fgColor rgb="FFC8DC81"/>
        <bgColor rgb="FFC8DC81"/>
      </patternFill>
    </fill>
    <fill>
      <patternFill patternType="solid">
        <fgColor rgb="FFDFE283"/>
        <bgColor rgb="FFDFE283"/>
      </patternFill>
    </fill>
    <fill>
      <patternFill patternType="solid">
        <fgColor rgb="FFB4D680"/>
        <bgColor rgb="FFB4D680"/>
      </patternFill>
    </fill>
    <fill>
      <patternFill patternType="solid">
        <fgColor rgb="FFECE683"/>
        <bgColor rgb="FFECE683"/>
      </patternFill>
    </fill>
    <fill>
      <patternFill patternType="solid">
        <fgColor rgb="FFF7E984"/>
        <bgColor rgb="FFF7E984"/>
      </patternFill>
    </fill>
    <fill>
      <patternFill patternType="solid">
        <fgColor rgb="FFFBA276"/>
        <bgColor rgb="FFFBA276"/>
      </patternFill>
    </fill>
    <fill>
      <patternFill patternType="solid">
        <fgColor rgb="FFB7D680"/>
        <bgColor rgb="FFB7D680"/>
      </patternFill>
    </fill>
    <fill>
      <patternFill patternType="solid">
        <fgColor rgb="FFF5E984"/>
        <bgColor rgb="FFF5E984"/>
      </patternFill>
    </fill>
    <fill>
      <patternFill patternType="solid">
        <fgColor rgb="FFA0D07F"/>
        <bgColor rgb="FFA0D07F"/>
      </patternFill>
    </fill>
    <fill>
      <patternFill patternType="solid">
        <fgColor rgb="FFD4DF82"/>
        <bgColor rgb="FFD4DF82"/>
      </patternFill>
    </fill>
    <fill>
      <patternFill patternType="solid">
        <fgColor rgb="FFE8E583"/>
        <bgColor rgb="FFE8E583"/>
      </patternFill>
    </fill>
    <fill>
      <patternFill patternType="solid">
        <fgColor rgb="FFACD380"/>
        <bgColor rgb="FFACD380"/>
      </patternFill>
    </fill>
    <fill>
      <patternFill patternType="solid">
        <fgColor rgb="FFF98770"/>
        <bgColor rgb="FFF98770"/>
      </patternFill>
    </fill>
    <fill>
      <patternFill patternType="solid">
        <fgColor rgb="FFABD380"/>
        <bgColor rgb="FFABD380"/>
      </patternFill>
    </fill>
    <fill>
      <patternFill patternType="solid">
        <fgColor rgb="FFF9EA84"/>
        <bgColor rgb="FFF9EA84"/>
      </patternFill>
    </fill>
    <fill>
      <patternFill patternType="solid">
        <fgColor rgb="FFFA9172"/>
        <bgColor rgb="FFFA9172"/>
      </patternFill>
    </fill>
    <fill>
      <patternFill patternType="solid">
        <fgColor rgb="FFD1DE82"/>
        <bgColor rgb="FFD1DE82"/>
      </patternFill>
    </fill>
    <fill>
      <patternFill patternType="solid">
        <fgColor rgb="FFE7E483"/>
        <bgColor rgb="FFE7E483"/>
      </patternFill>
    </fill>
    <fill>
      <patternFill patternType="solid">
        <fgColor rgb="FF87C97E"/>
        <bgColor rgb="FF87C97E"/>
      </patternFill>
    </fill>
    <fill>
      <patternFill patternType="solid">
        <fgColor rgb="FFE3E383"/>
        <bgColor rgb="FFE3E383"/>
      </patternFill>
    </fill>
    <fill>
      <patternFill patternType="solid">
        <fgColor rgb="FFFA8E72"/>
        <bgColor rgb="FFFA8E72"/>
      </patternFill>
    </fill>
    <fill>
      <patternFill patternType="solid">
        <fgColor rgb="FF8ECB7E"/>
        <bgColor rgb="FF8ECB7E"/>
      </patternFill>
    </fill>
    <fill>
      <patternFill patternType="solid">
        <fgColor rgb="FFF97B6E"/>
        <bgColor rgb="FFF97B6E"/>
      </patternFill>
    </fill>
    <fill>
      <patternFill patternType="solid">
        <fgColor rgb="FFBFD981"/>
        <bgColor rgb="FFBFD981"/>
      </patternFill>
    </fill>
    <fill>
      <patternFill patternType="solid">
        <fgColor rgb="FFB7D780"/>
        <bgColor rgb="FFB7D780"/>
      </patternFill>
    </fill>
    <fill>
      <patternFill patternType="solid">
        <fgColor rgb="FFDEE283"/>
        <bgColor rgb="FFDEE283"/>
      </patternFill>
    </fill>
    <fill>
      <patternFill patternType="solid">
        <fgColor rgb="FFB8D780"/>
        <bgColor rgb="FFB8D780"/>
      </patternFill>
    </fill>
    <fill>
      <patternFill patternType="solid">
        <fgColor rgb="FFEDE683"/>
        <bgColor rgb="FFEDE683"/>
      </patternFill>
    </fill>
    <fill>
      <patternFill patternType="solid">
        <fgColor rgb="FFE6E483"/>
        <bgColor rgb="FFE6E483"/>
      </patternFill>
    </fill>
    <fill>
      <patternFill patternType="solid">
        <fgColor rgb="FFDDE182"/>
        <bgColor rgb="FFDDE182"/>
      </patternFill>
    </fill>
    <fill>
      <patternFill patternType="solid">
        <fgColor rgb="FFFA9573"/>
        <bgColor rgb="FFFA9573"/>
      </patternFill>
    </fill>
    <fill>
      <patternFill patternType="solid">
        <fgColor rgb="FF92CC7E"/>
        <bgColor rgb="FF92CC7E"/>
      </patternFill>
    </fill>
    <fill>
      <patternFill patternType="solid">
        <fgColor rgb="FF96CD7E"/>
        <bgColor rgb="FF96CD7E"/>
      </patternFill>
    </fill>
    <fill>
      <patternFill patternType="solid">
        <fgColor rgb="FFF98C71"/>
        <bgColor rgb="FFF98C71"/>
      </patternFill>
    </fill>
    <fill>
      <patternFill patternType="solid">
        <fgColor rgb="FFFDC87D"/>
        <bgColor rgb="FFFDC87D"/>
      </patternFill>
    </fill>
    <fill>
      <patternFill patternType="solid">
        <fgColor rgb="FFFED880"/>
        <bgColor rgb="FFFED880"/>
      </patternFill>
    </fill>
    <fill>
      <patternFill patternType="solid">
        <fgColor rgb="FFEBE683"/>
        <bgColor rgb="FFEBE683"/>
      </patternFill>
    </fill>
    <fill>
      <patternFill patternType="solid">
        <fgColor rgb="FFDBE182"/>
        <bgColor rgb="FFDBE182"/>
      </patternFill>
    </fill>
    <fill>
      <patternFill patternType="solid">
        <fgColor rgb="FF93CC7E"/>
        <bgColor rgb="FF93CC7E"/>
      </patternFill>
    </fill>
    <fill>
      <patternFill patternType="solid">
        <fgColor rgb="FFFDC97D"/>
        <bgColor rgb="FFFDC97D"/>
      </patternFill>
    </fill>
    <fill>
      <patternFill patternType="solid">
        <fgColor rgb="FFFEEB84"/>
        <bgColor rgb="FFFEEB84"/>
      </patternFill>
    </fill>
    <fill>
      <patternFill patternType="solid">
        <fgColor rgb="FFD7E082"/>
        <bgColor rgb="FFD7E082"/>
      </patternFill>
    </fill>
    <fill>
      <patternFill patternType="solid">
        <fgColor rgb="FFC7DB81"/>
        <bgColor rgb="FFC7DB81"/>
      </patternFill>
    </fill>
    <fill>
      <patternFill patternType="solid">
        <fgColor rgb="FFD0DE82"/>
        <bgColor rgb="FFD0DE82"/>
      </patternFill>
    </fill>
    <fill>
      <patternFill patternType="solid">
        <fgColor rgb="FFFBAF78"/>
        <bgColor rgb="FFFBAF78"/>
      </patternFill>
    </fill>
    <fill>
      <patternFill patternType="solid">
        <fgColor rgb="FFFFD666"/>
        <bgColor rgb="FFFFD666"/>
      </patternFill>
    </fill>
    <fill>
      <patternFill patternType="solid">
        <fgColor rgb="FFFB9F69"/>
        <bgColor rgb="FFFB9F69"/>
      </patternFill>
    </fill>
    <fill>
      <patternFill patternType="solid">
        <fgColor rgb="FF88C97E"/>
        <bgColor rgb="FF88C97E"/>
      </patternFill>
    </fill>
    <fill>
      <patternFill patternType="solid">
        <fgColor rgb="FF8CCA7E"/>
        <bgColor rgb="FF8CCA7E"/>
      </patternFill>
    </fill>
    <fill>
      <patternFill patternType="solid">
        <fgColor rgb="FFB5CB70"/>
        <bgColor rgb="FFB5CB70"/>
      </patternFill>
    </fill>
    <fill>
      <patternFill patternType="solid">
        <fgColor rgb="FF90C575"/>
        <bgColor rgb="FF90C575"/>
      </patternFill>
    </fill>
    <fill>
      <patternFill patternType="solid">
        <fgColor rgb="FFB9CC6F"/>
        <bgColor rgb="FFB9CC6F"/>
      </patternFill>
    </fill>
    <fill>
      <patternFill patternType="solid">
        <fgColor rgb="FF91CC7E"/>
        <bgColor rgb="FF91CC7E"/>
      </patternFill>
    </fill>
    <fill>
      <patternFill patternType="solid">
        <fgColor rgb="FFFB9769"/>
        <bgColor rgb="FFFB9769"/>
      </patternFill>
    </fill>
    <fill>
      <patternFill patternType="solid">
        <fgColor rgb="FFFCAF68"/>
        <bgColor rgb="FFFCAF68"/>
      </patternFill>
    </fill>
    <fill>
      <patternFill patternType="solid">
        <fgColor rgb="FFFEC667"/>
        <bgColor rgb="FFFEC667"/>
      </patternFill>
    </fill>
    <fill>
      <patternFill patternType="solid">
        <fgColor rgb="FFF0D468"/>
        <bgColor rgb="FFF0D468"/>
      </patternFill>
    </fill>
    <fill>
      <patternFill patternType="solid">
        <fgColor rgb="FFC9CE6D"/>
        <bgColor rgb="FFC9CE6D"/>
      </patternFill>
    </fill>
    <fill>
      <patternFill patternType="solid">
        <fgColor rgb="FF8AC475"/>
        <bgColor rgb="FF8AC475"/>
      </patternFill>
    </fill>
    <fill>
      <patternFill patternType="solid">
        <fgColor rgb="FFAAC971"/>
        <bgColor rgb="FFAAC971"/>
      </patternFill>
    </fill>
    <fill>
      <patternFill patternType="solid">
        <fgColor rgb="FFE8D369"/>
        <bgColor rgb="FFE8D369"/>
      </patternFill>
    </fill>
    <fill>
      <patternFill patternType="solid">
        <fgColor rgb="FFC1CD6E"/>
        <bgColor rgb="FFC1CD6E"/>
      </patternFill>
    </fill>
    <fill>
      <patternFill patternType="solid">
        <fgColor rgb="FFF2E884"/>
        <bgColor rgb="FFF2E884"/>
      </patternFill>
    </fill>
    <fill>
      <patternFill patternType="solid">
        <fgColor rgb="FFF6D567"/>
        <bgColor rgb="FFF6D567"/>
      </patternFill>
    </fill>
    <fill>
      <patternFill patternType="solid">
        <fgColor rgb="FFDBD16A"/>
        <bgColor rgb="FFDBD16A"/>
      </patternFill>
    </fill>
    <fill>
      <patternFill patternType="solid">
        <fgColor rgb="FFBACC6F"/>
        <bgColor rgb="FFBACC6F"/>
      </patternFill>
    </fill>
    <fill>
      <patternFill patternType="solid">
        <fgColor rgb="FFFB9C69"/>
        <bgColor rgb="FFFB9C69"/>
      </patternFill>
    </fill>
    <fill>
      <patternFill patternType="solid">
        <fgColor rgb="FFFDC267"/>
        <bgColor rgb="FFFDC267"/>
      </patternFill>
    </fill>
    <fill>
      <patternFill patternType="solid">
        <fgColor rgb="FF9CCF7F"/>
        <bgColor rgb="FF9CCF7F"/>
      </patternFill>
    </fill>
    <fill>
      <patternFill patternType="solid">
        <fgColor rgb="FF00FFFF"/>
        <bgColor rgb="FF00FFFF"/>
      </patternFill>
    </fill>
    <fill>
      <patternFill patternType="solid">
        <fgColor rgb="FFD8D06B"/>
        <bgColor rgb="FFD8D06B"/>
      </patternFill>
    </fill>
    <fill>
      <patternFill patternType="solid">
        <fgColor rgb="FF9EC773"/>
        <bgColor rgb="FF9EC773"/>
      </patternFill>
    </fill>
    <fill>
      <patternFill patternType="solid">
        <fgColor rgb="FFFCB168"/>
        <bgColor rgb="FFFCB168"/>
      </patternFill>
    </fill>
    <fill>
      <patternFill patternType="solid">
        <fgColor rgb="FFFA8D6A"/>
        <bgColor rgb="FFFA8D6A"/>
      </patternFill>
    </fill>
    <fill>
      <patternFill patternType="solid">
        <fgColor rgb="FF88C476"/>
        <bgColor rgb="FF88C476"/>
      </patternFill>
    </fill>
    <fill>
      <patternFill patternType="solid">
        <fgColor rgb="FFB7CB6F"/>
        <bgColor rgb="FFB7CB6F"/>
      </patternFill>
    </fill>
    <fill>
      <patternFill patternType="solid">
        <fgColor rgb="FF9FC872"/>
        <bgColor rgb="FF9FC872"/>
      </patternFill>
    </fill>
    <fill>
      <patternFill patternType="solid">
        <fgColor rgb="FFE9D368"/>
        <bgColor rgb="FFE9D368"/>
      </patternFill>
    </fill>
    <fill>
      <patternFill patternType="solid">
        <fgColor rgb="FFAECA70"/>
        <bgColor rgb="FFAECA70"/>
      </patternFill>
    </fill>
    <fill>
      <patternFill patternType="solid">
        <fgColor rgb="FFCCCF6C"/>
        <bgColor rgb="FFCCCF6C"/>
      </patternFill>
    </fill>
    <fill>
      <patternFill patternType="solid">
        <fgColor rgb="FFF8D567"/>
        <bgColor rgb="FFF8D567"/>
      </patternFill>
    </fill>
    <fill>
      <patternFill patternType="solid">
        <fgColor rgb="FFB1CA70"/>
        <bgColor rgb="FFB1CA70"/>
      </patternFill>
    </fill>
    <fill>
      <patternFill patternType="solid">
        <fgColor rgb="FF9FD07F"/>
        <bgColor rgb="FF9FD07F"/>
      </patternFill>
    </fill>
    <fill>
      <patternFill patternType="solid">
        <fgColor rgb="FFB6D680"/>
        <bgColor rgb="FFB6D680"/>
      </patternFill>
    </fill>
    <fill>
      <patternFill patternType="solid">
        <fgColor rgb="FFFDEB84"/>
        <bgColor rgb="FFFDEB84"/>
      </patternFill>
    </fill>
    <fill>
      <patternFill patternType="solid">
        <fgColor rgb="FFCFCF6C"/>
        <bgColor rgb="FFCFCF6C"/>
      </patternFill>
    </fill>
    <fill>
      <patternFill patternType="solid">
        <fgColor rgb="FFF4D567"/>
        <bgColor rgb="FFF4D567"/>
      </patternFill>
    </fill>
    <fill>
      <patternFill patternType="solid">
        <fgColor rgb="FFF97E6A"/>
        <bgColor rgb="FFF97E6A"/>
      </patternFill>
    </fill>
    <fill>
      <patternFill patternType="solid">
        <fgColor rgb="FFFA9469"/>
        <bgColor rgb="FFFA9469"/>
      </patternFill>
    </fill>
    <fill>
      <patternFill patternType="solid">
        <fgColor rgb="FFF86E6B"/>
        <bgColor rgb="FFF86E6B"/>
      </patternFill>
    </fill>
    <fill>
      <patternFill patternType="solid">
        <fgColor rgb="FFF8736B"/>
        <bgColor rgb="FFF8736B"/>
      </patternFill>
    </fill>
    <fill>
      <patternFill patternType="solid">
        <fgColor rgb="FFFDC067"/>
        <bgColor rgb="FFFDC067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theme="7"/>
      </patternFill>
    </fill>
    <fill>
      <patternFill patternType="solid">
        <fgColor theme="5"/>
        <bgColor theme="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3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2" borderId="2" xfId="0" applyFont="1" applyFill="1" applyBorder="1" applyAlignment="1"/>
    <xf numFmtId="0" fontId="6" fillId="3" borderId="1" xfId="0" applyFont="1" applyFill="1" applyBorder="1" applyAlignment="1"/>
    <xf numFmtId="0" fontId="6" fillId="2" borderId="1" xfId="0" applyFont="1" applyFill="1" applyBorder="1" applyAlignment="1"/>
    <xf numFmtId="0" fontId="3" fillId="2" borderId="0" xfId="0" applyFont="1" applyFill="1" applyAlignment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65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3" fillId="79" borderId="0" xfId="0" applyFont="1" applyFill="1" applyAlignment="1">
      <alignment horizontal="right"/>
    </xf>
    <xf numFmtId="0" fontId="3" fillId="56" borderId="0" xfId="0" applyFont="1" applyFill="1" applyAlignment="1">
      <alignment horizontal="right"/>
    </xf>
    <xf numFmtId="0" fontId="3" fillId="2" borderId="1" xfId="0" applyFont="1" applyFill="1" applyBorder="1" applyAlignment="1"/>
    <xf numFmtId="0" fontId="3" fillId="42" borderId="0" xfId="0" applyFont="1" applyFill="1" applyAlignment="1">
      <alignment horizontal="right"/>
    </xf>
    <xf numFmtId="0" fontId="3" fillId="16" borderId="0" xfId="0" applyFont="1" applyFill="1" applyAlignment="1">
      <alignment horizontal="right"/>
    </xf>
    <xf numFmtId="0" fontId="3" fillId="67" borderId="0" xfId="0" applyFont="1" applyFill="1" applyAlignment="1">
      <alignment horizontal="right"/>
    </xf>
    <xf numFmtId="0" fontId="3" fillId="94" borderId="0" xfId="0" applyFont="1" applyFill="1" applyAlignment="1">
      <alignment horizontal="right"/>
    </xf>
    <xf numFmtId="0" fontId="3" fillId="105" borderId="0" xfId="0" applyFont="1" applyFill="1" applyAlignment="1">
      <alignment horizontal="right"/>
    </xf>
    <xf numFmtId="0" fontId="3" fillId="106" borderId="0" xfId="0" applyFont="1" applyFill="1" applyAlignment="1">
      <alignment horizontal="right"/>
    </xf>
    <xf numFmtId="0" fontId="3" fillId="107" borderId="0" xfId="0" applyFont="1" applyFill="1" applyAlignment="1">
      <alignment horizontal="right"/>
    </xf>
    <xf numFmtId="0" fontId="3" fillId="55" borderId="0" xfId="0" applyFont="1" applyFill="1" applyAlignment="1">
      <alignment horizontal="right"/>
    </xf>
    <xf numFmtId="0" fontId="3" fillId="75" borderId="0" xfId="0" applyFont="1" applyFill="1" applyAlignment="1">
      <alignment horizontal="right"/>
    </xf>
    <xf numFmtId="0" fontId="3" fillId="25" borderId="0" xfId="0" applyFont="1" applyFill="1" applyAlignment="1">
      <alignment horizontal="right"/>
    </xf>
    <xf numFmtId="0" fontId="3" fillId="108" borderId="0" xfId="0" applyFont="1" applyFill="1" applyAlignment="1">
      <alignment horizontal="right"/>
    </xf>
    <xf numFmtId="0" fontId="3" fillId="11" borderId="0" xfId="0" applyFont="1" applyFill="1" applyAlignment="1">
      <alignment horizontal="right"/>
    </xf>
    <xf numFmtId="0" fontId="3" fillId="41" borderId="0" xfId="0" applyFont="1" applyFill="1" applyAlignment="1">
      <alignment horizontal="right"/>
    </xf>
    <xf numFmtId="0" fontId="3" fillId="28" borderId="0" xfId="0" applyFont="1" applyFill="1" applyAlignment="1">
      <alignment horizontal="right"/>
    </xf>
    <xf numFmtId="0" fontId="3" fillId="109" borderId="0" xfId="0" applyFont="1" applyFill="1" applyAlignment="1">
      <alignment horizontal="right"/>
    </xf>
    <xf numFmtId="0" fontId="3" fillId="33" borderId="0" xfId="0" applyFont="1" applyFill="1" applyAlignment="1">
      <alignment horizontal="right"/>
    </xf>
    <xf numFmtId="0" fontId="3" fillId="88" borderId="0" xfId="0" applyFont="1" applyFill="1" applyAlignment="1">
      <alignment horizontal="right"/>
    </xf>
    <xf numFmtId="0" fontId="3" fillId="26" borderId="0" xfId="0" applyFont="1" applyFill="1" applyAlignment="1">
      <alignment horizontal="right"/>
    </xf>
    <xf numFmtId="0" fontId="3" fillId="46" borderId="0" xfId="0" applyFont="1" applyFill="1" applyAlignment="1">
      <alignment horizontal="right"/>
    </xf>
    <xf numFmtId="0" fontId="3" fillId="87" borderId="0" xfId="0" applyFont="1" applyFill="1" applyAlignment="1">
      <alignment horizontal="right"/>
    </xf>
    <xf numFmtId="0" fontId="3" fillId="19" borderId="0" xfId="0" applyFont="1" applyFill="1" applyAlignment="1">
      <alignment horizontal="right"/>
    </xf>
    <xf numFmtId="0" fontId="3" fillId="60" borderId="0" xfId="0" applyFont="1" applyFill="1" applyAlignment="1">
      <alignment horizontal="right"/>
    </xf>
    <xf numFmtId="0" fontId="3" fillId="80" borderId="0" xfId="0" applyFont="1" applyFill="1" applyAlignment="1">
      <alignment horizontal="right"/>
    </xf>
    <xf numFmtId="0" fontId="3" fillId="85" borderId="0" xfId="0" applyFont="1" applyFill="1" applyAlignment="1">
      <alignment horizontal="right"/>
    </xf>
    <xf numFmtId="0" fontId="3" fillId="62" borderId="0" xfId="0" applyFont="1" applyFill="1" applyAlignment="1">
      <alignment horizontal="right"/>
    </xf>
    <xf numFmtId="0" fontId="3" fillId="74" borderId="0" xfId="0" applyFont="1" applyFill="1" applyAlignment="1">
      <alignment horizontal="right"/>
    </xf>
    <xf numFmtId="0" fontId="3" fillId="78" borderId="0" xfId="0" applyFont="1" applyFill="1" applyAlignment="1">
      <alignment horizontal="right"/>
    </xf>
    <xf numFmtId="0" fontId="3" fillId="91" borderId="0" xfId="0" applyFont="1" applyFill="1" applyAlignment="1">
      <alignment horizontal="right"/>
    </xf>
    <xf numFmtId="0" fontId="3" fillId="100" borderId="0" xfId="0" applyFont="1" applyFill="1" applyAlignment="1">
      <alignment horizontal="right"/>
    </xf>
    <xf numFmtId="0" fontId="3" fillId="58" borderId="0" xfId="0" applyFont="1" applyFill="1" applyAlignment="1">
      <alignment horizontal="right"/>
    </xf>
    <xf numFmtId="0" fontId="3" fillId="93" borderId="0" xfId="0" applyFont="1" applyFill="1" applyAlignment="1">
      <alignment horizontal="right"/>
    </xf>
    <xf numFmtId="0" fontId="3" fillId="110" borderId="0" xfId="0" applyFont="1" applyFill="1" applyAlignment="1">
      <alignment horizontal="right"/>
    </xf>
    <xf numFmtId="0" fontId="3" fillId="111" borderId="0" xfId="0" applyFont="1" applyFill="1" applyAlignment="1">
      <alignment horizontal="right"/>
    </xf>
    <xf numFmtId="0" fontId="3" fillId="112" borderId="0" xfId="0" applyFont="1" applyFill="1" applyAlignment="1">
      <alignment horizontal="right"/>
    </xf>
    <xf numFmtId="0" fontId="3" fillId="21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0" fontId="3" fillId="53" borderId="0" xfId="0" applyFont="1" applyFill="1" applyAlignment="1">
      <alignment horizontal="right"/>
    </xf>
    <xf numFmtId="0" fontId="3" fillId="32" borderId="0" xfId="0" applyFont="1" applyFill="1" applyAlignment="1">
      <alignment horizontal="right"/>
    </xf>
    <xf numFmtId="0" fontId="3" fillId="27" borderId="0" xfId="0" applyFont="1" applyFill="1" applyAlignment="1">
      <alignment horizontal="right"/>
    </xf>
    <xf numFmtId="0" fontId="3" fillId="37" borderId="0" xfId="0" applyFont="1" applyFill="1" applyAlignment="1">
      <alignment horizontal="right"/>
    </xf>
    <xf numFmtId="0" fontId="3" fillId="102" borderId="0" xfId="0" applyFont="1" applyFill="1" applyAlignment="1">
      <alignment horizontal="right"/>
    </xf>
    <xf numFmtId="0" fontId="3" fillId="18" borderId="0" xfId="0" applyFont="1" applyFill="1" applyAlignment="1">
      <alignment horizontal="right"/>
    </xf>
    <xf numFmtId="0" fontId="3" fillId="17" borderId="0" xfId="0" applyFont="1" applyFill="1" applyAlignment="1">
      <alignment horizontal="right"/>
    </xf>
    <xf numFmtId="0" fontId="3" fillId="71" borderId="0" xfId="0" applyFont="1" applyFill="1" applyAlignment="1">
      <alignment horizontal="right"/>
    </xf>
    <xf numFmtId="0" fontId="3" fillId="72" borderId="0" xfId="0" applyFont="1" applyFill="1" applyAlignment="1">
      <alignment horizontal="right"/>
    </xf>
    <xf numFmtId="0" fontId="3" fillId="70" borderId="0" xfId="0" applyFont="1" applyFill="1" applyAlignment="1">
      <alignment horizontal="right"/>
    </xf>
    <xf numFmtId="0" fontId="3" fillId="69" borderId="0" xfId="0" applyFont="1" applyFill="1" applyAlignment="1">
      <alignment horizontal="right"/>
    </xf>
    <xf numFmtId="0" fontId="3" fillId="66" borderId="0" xfId="0" applyFont="1" applyFill="1" applyAlignment="1">
      <alignment horizontal="right"/>
    </xf>
    <xf numFmtId="0" fontId="3" fillId="24" borderId="0" xfId="0" applyFont="1" applyFill="1" applyAlignment="1">
      <alignment horizontal="right"/>
    </xf>
    <xf numFmtId="0" fontId="3" fillId="95" borderId="0" xfId="0" applyFont="1" applyFill="1" applyAlignment="1">
      <alignment horizontal="right"/>
    </xf>
    <xf numFmtId="0" fontId="3" fillId="89" borderId="0" xfId="0" applyFont="1" applyFill="1" applyAlignment="1">
      <alignment horizontal="right"/>
    </xf>
    <xf numFmtId="0" fontId="3" fillId="34" borderId="0" xfId="0" applyFont="1" applyFill="1" applyAlignment="1">
      <alignment horizontal="right"/>
    </xf>
    <xf numFmtId="0" fontId="3" fillId="57" borderId="0" xfId="0" applyFont="1" applyFill="1" applyAlignment="1">
      <alignment horizontal="right"/>
    </xf>
    <xf numFmtId="0" fontId="3" fillId="113" borderId="0" xfId="0" applyFont="1" applyFill="1" applyAlignment="1">
      <alignment horizontal="right"/>
    </xf>
    <xf numFmtId="0" fontId="3" fillId="63" borderId="0" xfId="0" applyFont="1" applyFill="1" applyAlignment="1">
      <alignment horizontal="right"/>
    </xf>
    <xf numFmtId="0" fontId="3" fillId="10" borderId="0" xfId="0" applyFont="1" applyFill="1" applyAlignment="1">
      <alignment horizontal="right"/>
    </xf>
    <xf numFmtId="0" fontId="3" fillId="114" borderId="0" xfId="0" applyFont="1" applyFill="1" applyAlignment="1">
      <alignment horizontal="right"/>
    </xf>
    <xf numFmtId="0" fontId="3" fillId="83" borderId="0" xfId="0" applyFont="1" applyFill="1" applyAlignment="1">
      <alignment horizontal="right"/>
    </xf>
    <xf numFmtId="0" fontId="3" fillId="96" borderId="0" xfId="0" applyFont="1" applyFill="1" applyAlignment="1">
      <alignment horizontal="right"/>
    </xf>
    <xf numFmtId="0" fontId="3" fillId="15" borderId="0" xfId="0" applyFont="1" applyFill="1" applyAlignment="1">
      <alignment horizontal="right"/>
    </xf>
    <xf numFmtId="0" fontId="3" fillId="84" borderId="0" xfId="0" applyFont="1" applyFill="1" applyAlignment="1">
      <alignment horizontal="right"/>
    </xf>
    <xf numFmtId="0" fontId="3" fillId="73" borderId="0" xfId="0" applyFont="1" applyFill="1" applyAlignment="1">
      <alignment horizontal="right"/>
    </xf>
    <xf numFmtId="0" fontId="3" fillId="35" borderId="0" xfId="0" applyFont="1" applyFill="1" applyAlignment="1">
      <alignment horizontal="right"/>
    </xf>
    <xf numFmtId="0" fontId="3" fillId="47" borderId="0" xfId="0" applyFont="1" applyFill="1" applyAlignment="1">
      <alignment horizontal="right"/>
    </xf>
    <xf numFmtId="0" fontId="3" fillId="52" borderId="0" xfId="0" applyFont="1" applyFill="1" applyAlignment="1">
      <alignment horizontal="right"/>
    </xf>
    <xf numFmtId="0" fontId="3" fillId="98" borderId="0" xfId="0" applyFont="1" applyFill="1" applyAlignment="1">
      <alignment horizontal="right"/>
    </xf>
    <xf numFmtId="0" fontId="3" fillId="115" borderId="0" xfId="0" applyFont="1" applyFill="1" applyAlignment="1">
      <alignment horizontal="right"/>
    </xf>
    <xf numFmtId="0" fontId="3" fillId="116" borderId="0" xfId="0" applyFont="1" applyFill="1" applyAlignment="1">
      <alignment horizontal="right"/>
    </xf>
    <xf numFmtId="0" fontId="3" fillId="117" borderId="0" xfId="0" applyFont="1" applyFill="1" applyAlignment="1">
      <alignment horizontal="right"/>
    </xf>
    <xf numFmtId="0" fontId="3" fillId="118" borderId="0" xfId="0" applyFont="1" applyFill="1" applyAlignment="1">
      <alignment horizontal="right"/>
    </xf>
    <xf numFmtId="0" fontId="4" fillId="2" borderId="1" xfId="0" applyFont="1" applyFill="1" applyBorder="1" applyAlignment="1"/>
    <xf numFmtId="0" fontId="4" fillId="0" borderId="0" xfId="0" applyFont="1" applyAlignment="1">
      <alignment horizontal="right"/>
    </xf>
    <xf numFmtId="0" fontId="4" fillId="7" borderId="0" xfId="0" applyFont="1" applyFill="1" applyAlignment="1">
      <alignment horizontal="right"/>
    </xf>
    <xf numFmtId="0" fontId="4" fillId="119" borderId="0" xfId="0" applyFont="1" applyFill="1" applyAlignment="1">
      <alignment horizontal="right"/>
    </xf>
    <xf numFmtId="0" fontId="4" fillId="120" borderId="0" xfId="0" applyFont="1" applyFill="1" applyAlignment="1">
      <alignment horizontal="right"/>
    </xf>
    <xf numFmtId="0" fontId="4" fillId="121" borderId="0" xfId="0" applyFont="1" applyFill="1" applyAlignment="1">
      <alignment horizontal="right"/>
    </xf>
    <xf numFmtId="0" fontId="4" fillId="122" borderId="0" xfId="0" applyFont="1" applyFill="1" applyAlignment="1">
      <alignment horizontal="right"/>
    </xf>
    <xf numFmtId="0" fontId="3" fillId="86" borderId="0" xfId="0" applyFont="1" applyFill="1" applyAlignment="1">
      <alignment horizontal="right"/>
    </xf>
    <xf numFmtId="0" fontId="3" fillId="31" borderId="0" xfId="0" applyFont="1" applyFill="1" applyAlignment="1">
      <alignment horizontal="right"/>
    </xf>
    <xf numFmtId="0" fontId="3" fillId="123" borderId="0" xfId="0" applyFont="1" applyFill="1" applyAlignment="1">
      <alignment horizontal="right"/>
    </xf>
    <xf numFmtId="0" fontId="3" fillId="76" borderId="0" xfId="0" applyFont="1" applyFill="1" applyAlignment="1">
      <alignment horizontal="right"/>
    </xf>
    <xf numFmtId="0" fontId="3" fillId="36" borderId="0" xfId="0" applyFont="1" applyFill="1" applyAlignment="1">
      <alignment horizontal="right"/>
    </xf>
    <xf numFmtId="0" fontId="3" fillId="81" borderId="0" xfId="0" applyFont="1" applyFill="1" applyAlignment="1">
      <alignment horizontal="right"/>
    </xf>
    <xf numFmtId="0" fontId="3" fillId="40" borderId="0" xfId="0" applyFont="1" applyFill="1" applyAlignment="1">
      <alignment horizontal="right"/>
    </xf>
    <xf numFmtId="0" fontId="3" fillId="30" borderId="0" xfId="0" applyFont="1" applyFill="1" applyAlignment="1">
      <alignment horizontal="right"/>
    </xf>
    <xf numFmtId="0" fontId="3" fillId="124" borderId="0" xfId="0" applyFont="1" applyFill="1" applyAlignment="1">
      <alignment horizontal="right"/>
    </xf>
    <xf numFmtId="0" fontId="3" fillId="125" borderId="0" xfId="0" applyFont="1" applyFill="1" applyAlignment="1">
      <alignment horizontal="right"/>
    </xf>
    <xf numFmtId="0" fontId="3" fillId="126" borderId="0" xfId="0" applyFont="1" applyFill="1" applyAlignment="1">
      <alignment horizontal="right"/>
    </xf>
    <xf numFmtId="0" fontId="3" fillId="127" borderId="0" xfId="0" applyFont="1" applyFill="1" applyAlignment="1">
      <alignment horizontal="right"/>
    </xf>
    <xf numFmtId="0" fontId="3" fillId="128" borderId="0" xfId="0" applyFont="1" applyFill="1" applyAlignment="1">
      <alignment horizontal="right"/>
    </xf>
    <xf numFmtId="0" fontId="3" fillId="77" borderId="0" xfId="0" applyFont="1" applyFill="1" applyAlignment="1">
      <alignment horizontal="right"/>
    </xf>
    <xf numFmtId="0" fontId="3" fillId="12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13" borderId="0" xfId="0" applyFont="1" applyFill="1" applyAlignment="1">
      <alignment horizontal="right"/>
    </xf>
    <xf numFmtId="0" fontId="3" fillId="20" borderId="0" xfId="0" applyFont="1" applyFill="1" applyAlignment="1">
      <alignment horizontal="right"/>
    </xf>
    <xf numFmtId="0" fontId="3" fillId="129" borderId="0" xfId="0" applyFont="1" applyFill="1" applyAlignment="1">
      <alignment horizontal="right"/>
    </xf>
    <xf numFmtId="0" fontId="3" fillId="29" borderId="0" xfId="0" applyFont="1" applyFill="1" applyAlignment="1">
      <alignment horizontal="right"/>
    </xf>
    <xf numFmtId="0" fontId="3" fillId="48" borderId="0" xfId="0" applyFont="1" applyFill="1" applyAlignment="1">
      <alignment horizontal="right"/>
    </xf>
    <xf numFmtId="0" fontId="3" fillId="23" borderId="0" xfId="0" applyFont="1" applyFill="1" applyAlignment="1">
      <alignment horizontal="right"/>
    </xf>
    <xf numFmtId="0" fontId="3" fillId="68" borderId="0" xfId="0" applyFont="1" applyFill="1" applyAlignment="1">
      <alignment horizontal="right"/>
    </xf>
    <xf numFmtId="0" fontId="3" fillId="50" borderId="0" xfId="0" applyFont="1" applyFill="1" applyAlignment="1">
      <alignment horizontal="right"/>
    </xf>
    <xf numFmtId="0" fontId="4" fillId="81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47" borderId="0" xfId="0" applyFont="1" applyFill="1" applyAlignment="1">
      <alignment horizontal="right"/>
    </xf>
    <xf numFmtId="0" fontId="3" fillId="0" borderId="0" xfId="0" applyFont="1" applyAlignment="1"/>
    <xf numFmtId="0" fontId="3" fillId="44" borderId="0" xfId="0" applyFont="1" applyFill="1" applyAlignment="1">
      <alignment horizontal="right"/>
    </xf>
    <xf numFmtId="0" fontId="3" fillId="92" borderId="0" xfId="0" applyFont="1" applyFill="1" applyAlignment="1">
      <alignment horizontal="right"/>
    </xf>
    <xf numFmtId="0" fontId="3" fillId="101" borderId="0" xfId="0" applyFont="1" applyFill="1" applyAlignment="1">
      <alignment horizontal="right"/>
    </xf>
    <xf numFmtId="0" fontId="4" fillId="130" borderId="0" xfId="0" applyFont="1" applyFill="1" applyAlignment="1"/>
    <xf numFmtId="0" fontId="4" fillId="5" borderId="0" xfId="0" applyFont="1" applyFill="1" applyAlignment="1">
      <alignment horizontal="right"/>
    </xf>
    <xf numFmtId="0" fontId="4" fillId="9" borderId="0" xfId="0" applyFont="1" applyFill="1" applyAlignment="1">
      <alignment horizontal="right"/>
    </xf>
    <xf numFmtId="0" fontId="3" fillId="9" borderId="0" xfId="0" applyFont="1" applyFill="1" applyAlignment="1">
      <alignment horizontal="right"/>
    </xf>
    <xf numFmtId="0" fontId="3" fillId="45" borderId="0" xfId="0" applyFont="1" applyFill="1" applyAlignment="1">
      <alignment horizontal="right"/>
    </xf>
    <xf numFmtId="0" fontId="3" fillId="61" borderId="0" xfId="0" applyFont="1" applyFill="1" applyAlignment="1">
      <alignment horizontal="right"/>
    </xf>
    <xf numFmtId="0" fontId="3" fillId="131" borderId="0" xfId="0" applyFont="1" applyFill="1" applyAlignment="1">
      <alignment horizontal="right"/>
    </xf>
    <xf numFmtId="0" fontId="3" fillId="132" borderId="0" xfId="0" applyFont="1" applyFill="1" applyAlignment="1">
      <alignment horizontal="right"/>
    </xf>
    <xf numFmtId="0" fontId="3" fillId="133" borderId="0" xfId="0" applyFont="1" applyFill="1" applyAlignment="1">
      <alignment horizontal="right"/>
    </xf>
    <xf numFmtId="0" fontId="3" fillId="134" borderId="0" xfId="0" applyFont="1" applyFill="1" applyAlignment="1">
      <alignment horizontal="right"/>
    </xf>
    <xf numFmtId="0" fontId="3" fillId="135" borderId="0" xfId="0" applyFont="1" applyFill="1" applyAlignment="1">
      <alignment horizontal="right"/>
    </xf>
    <xf numFmtId="0" fontId="3" fillId="136" borderId="0" xfId="0" applyFont="1" applyFill="1" applyAlignment="1">
      <alignment horizontal="right"/>
    </xf>
    <xf numFmtId="0" fontId="3" fillId="137" borderId="0" xfId="0" applyFont="1" applyFill="1" applyAlignment="1">
      <alignment horizontal="right"/>
    </xf>
    <xf numFmtId="0" fontId="3" fillId="49" borderId="0" xfId="0" applyFont="1" applyFill="1" applyAlignment="1">
      <alignment horizontal="right"/>
    </xf>
    <xf numFmtId="0" fontId="3" fillId="22" borderId="0" xfId="0" applyFont="1" applyFill="1" applyAlignment="1">
      <alignment horizontal="right"/>
    </xf>
    <xf numFmtId="0" fontId="3" fillId="104" borderId="0" xfId="0" applyFont="1" applyFill="1" applyAlignment="1">
      <alignment horizontal="right"/>
    </xf>
    <xf numFmtId="0" fontId="3" fillId="97" borderId="0" xfId="0" applyFont="1" applyFill="1" applyAlignment="1">
      <alignment horizontal="right"/>
    </xf>
    <xf numFmtId="0" fontId="3" fillId="130" borderId="0" xfId="0" applyFont="1" applyFill="1" applyAlignment="1"/>
    <xf numFmtId="0" fontId="3" fillId="43" borderId="0" xfId="0" applyFont="1" applyFill="1" applyAlignment="1">
      <alignment horizontal="right"/>
    </xf>
    <xf numFmtId="0" fontId="3" fillId="38" borderId="0" xfId="0" applyFont="1" applyFill="1" applyAlignment="1">
      <alignment horizontal="right"/>
    </xf>
    <xf numFmtId="0" fontId="3" fillId="82" borderId="0" xfId="0" applyFont="1" applyFill="1" applyAlignment="1">
      <alignment horizontal="right"/>
    </xf>
    <xf numFmtId="0" fontId="3" fillId="103" borderId="0" xfId="0" applyFont="1" applyFill="1" applyAlignment="1">
      <alignment horizontal="right"/>
    </xf>
    <xf numFmtId="0" fontId="3" fillId="39" borderId="0" xfId="0" applyFont="1" applyFill="1" applyAlignment="1">
      <alignment horizontal="right"/>
    </xf>
    <xf numFmtId="0" fontId="3" fillId="64" borderId="0" xfId="0" applyFont="1" applyFill="1" applyAlignment="1">
      <alignment horizontal="right"/>
    </xf>
    <xf numFmtId="0" fontId="3" fillId="54" borderId="0" xfId="0" applyFont="1" applyFill="1" applyAlignment="1">
      <alignment horizontal="right"/>
    </xf>
    <xf numFmtId="0" fontId="3" fillId="90" borderId="0" xfId="0" applyFont="1" applyFill="1" applyAlignment="1">
      <alignment horizontal="right"/>
    </xf>
    <xf numFmtId="0" fontId="3" fillId="138" borderId="0" xfId="0" applyFont="1" applyFill="1" applyAlignment="1">
      <alignment horizontal="right"/>
    </xf>
    <xf numFmtId="0" fontId="3" fillId="139" borderId="0" xfId="0" applyFont="1" applyFill="1" applyAlignment="1">
      <alignment horizontal="right"/>
    </xf>
    <xf numFmtId="0" fontId="3" fillId="140" borderId="0" xfId="0" applyFont="1" applyFill="1" applyAlignment="1">
      <alignment horizontal="right"/>
    </xf>
    <xf numFmtId="0" fontId="3" fillId="141" borderId="0" xfId="0" applyFont="1" applyFill="1" applyAlignment="1">
      <alignment horizontal="right"/>
    </xf>
    <xf numFmtId="0" fontId="3" fillId="142" borderId="0" xfId="0" applyFont="1" applyFill="1" applyAlignment="1">
      <alignment horizontal="right"/>
    </xf>
    <xf numFmtId="0" fontId="3" fillId="51" borderId="0" xfId="0" applyFont="1" applyFill="1" applyAlignment="1">
      <alignment horizontal="right"/>
    </xf>
    <xf numFmtId="0" fontId="3" fillId="143" borderId="0" xfId="0" applyFont="1" applyFill="1" applyAlignment="1">
      <alignment horizontal="right"/>
    </xf>
    <xf numFmtId="0" fontId="3" fillId="14" borderId="0" xfId="0" applyFont="1" applyFill="1" applyAlignment="1">
      <alignment horizontal="right"/>
    </xf>
    <xf numFmtId="0" fontId="3" fillId="144" borderId="0" xfId="0" applyFont="1" applyFill="1" applyAlignment="1">
      <alignment horizontal="right"/>
    </xf>
    <xf numFmtId="0" fontId="3" fillId="99" borderId="0" xfId="0" applyFont="1" applyFill="1" applyAlignment="1">
      <alignment horizontal="right"/>
    </xf>
    <xf numFmtId="0" fontId="4" fillId="8" borderId="0" xfId="0" applyFont="1" applyFill="1" applyAlignment="1">
      <alignment horizontal="right"/>
    </xf>
    <xf numFmtId="0" fontId="4" fillId="16" borderId="0" xfId="0" applyFont="1" applyFill="1" applyAlignment="1">
      <alignment horizontal="right"/>
    </xf>
    <xf numFmtId="0" fontId="3" fillId="145" borderId="0" xfId="0" applyFont="1" applyFill="1" applyAlignment="1">
      <alignment horizontal="right"/>
    </xf>
    <xf numFmtId="0" fontId="4" fillId="143" borderId="0" xfId="0" applyFont="1" applyFill="1" applyAlignment="1">
      <alignment horizontal="right"/>
    </xf>
    <xf numFmtId="0" fontId="4" fillId="2" borderId="0" xfId="0" applyFont="1" applyFill="1" applyAlignment="1"/>
    <xf numFmtId="0" fontId="4" fillId="13" borderId="0" xfId="0" applyFont="1" applyFill="1" applyAlignment="1">
      <alignment horizontal="right"/>
    </xf>
    <xf numFmtId="0" fontId="3" fillId="146" borderId="0" xfId="0" applyFont="1" applyFill="1" applyAlignment="1">
      <alignment horizontal="right"/>
    </xf>
    <xf numFmtId="0" fontId="3" fillId="121" borderId="0" xfId="0" applyFont="1" applyFill="1" applyAlignment="1">
      <alignment horizontal="right"/>
    </xf>
    <xf numFmtId="0" fontId="3" fillId="147" borderId="0" xfId="0" applyFont="1" applyFill="1" applyAlignment="1">
      <alignment horizontal="right"/>
    </xf>
    <xf numFmtId="0" fontId="3" fillId="59" borderId="0" xfId="0" applyFont="1" applyFill="1" applyAlignment="1">
      <alignment horizontal="right"/>
    </xf>
    <xf numFmtId="0" fontId="7" fillId="2" borderId="0" xfId="0" applyFont="1" applyFill="1" applyAlignment="1"/>
    <xf numFmtId="0" fontId="4" fillId="6" borderId="0" xfId="0" applyFont="1" applyFill="1" applyAlignment="1">
      <alignment horizontal="right"/>
    </xf>
    <xf numFmtId="0" fontId="4" fillId="148" borderId="0" xfId="0" applyFont="1" applyFill="1" applyAlignment="1">
      <alignment horizontal="right"/>
    </xf>
    <xf numFmtId="0" fontId="4" fillId="149" borderId="0" xfId="0" applyFont="1" applyFill="1" applyAlignment="1">
      <alignment horizontal="right"/>
    </xf>
    <xf numFmtId="0" fontId="3" fillId="119" borderId="0" xfId="0" applyFont="1" applyFill="1" applyAlignment="1">
      <alignment horizontal="right"/>
    </xf>
    <xf numFmtId="0" fontId="3" fillId="130" borderId="1" xfId="0" applyFont="1" applyFill="1" applyBorder="1" applyAlignment="1"/>
    <xf numFmtId="0" fontId="4" fillId="130" borderId="1" xfId="0" applyFont="1" applyFill="1" applyBorder="1" applyAlignment="1"/>
    <xf numFmtId="0" fontId="3" fillId="150" borderId="0" xfId="0" applyFont="1" applyFill="1" applyAlignment="1">
      <alignment horizontal="right"/>
    </xf>
    <xf numFmtId="0" fontId="3" fillId="151" borderId="0" xfId="0" applyFont="1" applyFill="1" applyAlignment="1">
      <alignment horizontal="right"/>
    </xf>
    <xf numFmtId="0" fontId="3" fillId="152" borderId="0" xfId="0" applyFont="1" applyFill="1" applyAlignment="1">
      <alignment horizontal="right"/>
    </xf>
    <xf numFmtId="0" fontId="8" fillId="0" borderId="0" xfId="0" applyFont="1" applyAlignment="1"/>
    <xf numFmtId="0" fontId="3" fillId="2" borderId="0" xfId="0" applyFont="1" applyFill="1" applyAlignment="1"/>
    <xf numFmtId="0" fontId="2" fillId="130" borderId="0" xfId="0" applyFont="1" applyFill="1" applyAlignment="1"/>
    <xf numFmtId="0" fontId="9" fillId="130" borderId="0" xfId="0" applyFont="1" applyFill="1" applyAlignment="1"/>
    <xf numFmtId="0" fontId="9" fillId="130" borderId="1" xfId="0" applyFont="1" applyFill="1" applyBorder="1" applyAlignment="1"/>
    <xf numFmtId="0" fontId="9" fillId="130" borderId="0" xfId="0" applyFont="1" applyFill="1" applyAlignment="1"/>
    <xf numFmtId="0" fontId="9" fillId="130" borderId="1" xfId="0" applyFont="1" applyFill="1" applyBorder="1" applyAlignment="1"/>
    <xf numFmtId="0" fontId="8" fillId="130" borderId="0" xfId="0" applyFont="1" applyFill="1" applyAlignment="1"/>
    <xf numFmtId="0" fontId="9" fillId="130" borderId="0" xfId="0" applyFont="1" applyFill="1" applyAlignment="1"/>
    <xf numFmtId="0" fontId="8" fillId="130" borderId="0" xfId="0" applyFont="1" applyFill="1"/>
    <xf numFmtId="0" fontId="9" fillId="0" borderId="0" xfId="0" applyFont="1" applyAlignment="1"/>
    <xf numFmtId="0" fontId="1" fillId="0" borderId="0" xfId="0" applyFont="1" applyAlignment="1"/>
    <xf numFmtId="3" fontId="9" fillId="0" borderId="0" xfId="0" applyNumberFormat="1" applyFont="1" applyAlignment="1"/>
    <xf numFmtId="3" fontId="2" fillId="0" borderId="0" xfId="0" applyNumberFormat="1" applyFont="1" applyAlignment="1">
      <alignment horizontal="right"/>
    </xf>
    <xf numFmtId="3" fontId="8" fillId="0" borderId="0" xfId="0" applyNumberFormat="1" applyFont="1" applyAlignment="1"/>
    <xf numFmtId="3" fontId="9" fillId="0" borderId="0" xfId="0" applyNumberFormat="1" applyFont="1" applyAlignment="1">
      <alignment horizontal="right"/>
    </xf>
    <xf numFmtId="0" fontId="11" fillId="3" borderId="0" xfId="0" applyFont="1" applyFill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wrapText="1"/>
    </xf>
    <xf numFmtId="0" fontId="12" fillId="0" borderId="0" xfId="0" applyFont="1" applyAlignment="1"/>
    <xf numFmtId="0" fontId="12" fillId="7" borderId="0" xfId="0" applyFont="1" applyFill="1" applyAlignment="1"/>
    <xf numFmtId="0" fontId="8" fillId="7" borderId="0" xfId="0" applyFont="1" applyFill="1"/>
    <xf numFmtId="0" fontId="9" fillId="0" borderId="0" xfId="0" applyFont="1" applyAlignment="1"/>
    <xf numFmtId="3" fontId="9" fillId="0" borderId="0" xfId="0" applyNumberFormat="1" applyFont="1" applyAlignment="1">
      <alignment horizontal="right"/>
    </xf>
    <xf numFmtId="3" fontId="12" fillId="0" borderId="0" xfId="0" applyNumberFormat="1" applyFont="1" applyAlignment="1"/>
    <xf numFmtId="0" fontId="12" fillId="154" borderId="0" xfId="0" applyFont="1" applyFill="1" applyAlignment="1"/>
    <xf numFmtId="0" fontId="12" fillId="154" borderId="0" xfId="0" applyFont="1" applyFill="1" applyAlignment="1">
      <alignment horizontal="right"/>
    </xf>
    <xf numFmtId="0" fontId="8" fillId="0" borderId="0" xfId="0" applyFont="1"/>
    <xf numFmtId="0" fontId="8" fillId="153" borderId="0" xfId="0" applyFont="1" applyFill="1"/>
    <xf numFmtId="0" fontId="12" fillId="0" borderId="0" xfId="0" applyFont="1"/>
    <xf numFmtId="0" fontId="8" fillId="0" borderId="0" xfId="0" applyFont="1" applyAlignment="1"/>
    <xf numFmtId="0" fontId="12" fillId="155" borderId="0" xfId="0" applyFont="1" applyFill="1" applyAlignment="1"/>
    <xf numFmtId="0" fontId="12" fillId="153" borderId="0" xfId="0" applyFont="1" applyFill="1" applyAlignment="1"/>
    <xf numFmtId="0" fontId="8" fillId="153" borderId="0" xfId="0" applyFont="1" applyFill="1" applyAlignment="1"/>
    <xf numFmtId="0" fontId="12" fillId="0" borderId="0" xfId="0" applyFont="1" applyAlignment="1"/>
    <xf numFmtId="0" fontId="9" fillId="0" borderId="0" xfId="0" applyFont="1" applyAlignment="1">
      <alignment horizontal="right"/>
    </xf>
    <xf numFmtId="0" fontId="10" fillId="0" borderId="0" xfId="0" applyFont="1" applyAlignment="1"/>
    <xf numFmtId="3" fontId="10" fillId="0" borderId="0" xfId="0" applyNumberFormat="1" applyFont="1" applyAlignment="1">
      <alignment horizontal="right"/>
    </xf>
    <xf numFmtId="0" fontId="12" fillId="154" borderId="0" xfId="0" applyFont="1" applyFill="1" applyAlignment="1">
      <alignment horizontal="right"/>
    </xf>
    <xf numFmtId="0" fontId="9" fillId="153" borderId="0" xfId="0" applyFont="1" applyFill="1" applyAlignment="1"/>
    <xf numFmtId="3" fontId="9" fillId="153" borderId="0" xfId="0" applyNumberFormat="1" applyFont="1" applyFill="1" applyAlignment="1">
      <alignment horizontal="right"/>
    </xf>
    <xf numFmtId="0" fontId="14" fillId="0" borderId="0" xfId="0" applyFont="1" applyAlignment="1"/>
    <xf numFmtId="0" fontId="8" fillId="155" borderId="0" xfId="0" applyFont="1" applyFill="1"/>
    <xf numFmtId="0" fontId="12" fillId="157" borderId="0" xfId="0" applyFont="1" applyFill="1" applyAlignment="1"/>
    <xf numFmtId="0" fontId="8" fillId="157" borderId="0" xfId="0" applyFont="1" applyFill="1"/>
    <xf numFmtId="0" fontId="12" fillId="155" borderId="0" xfId="0" applyFont="1" applyFill="1"/>
    <xf numFmtId="0" fontId="11" fillId="3" borderId="2" xfId="0" applyFont="1" applyFill="1" applyBorder="1" applyAlignment="1"/>
    <xf numFmtId="0" fontId="15" fillId="130" borderId="1" xfId="0" applyFont="1" applyFill="1" applyBorder="1" applyAlignment="1">
      <alignment wrapText="1"/>
    </xf>
    <xf numFmtId="0" fontId="11" fillId="130" borderId="1" xfId="0" applyFont="1" applyFill="1" applyBorder="1" applyAlignment="1">
      <alignment wrapText="1"/>
    </xf>
    <xf numFmtId="0" fontId="2" fillId="153" borderId="0" xfId="0" applyFont="1" applyFill="1" applyAlignment="1"/>
    <xf numFmtId="0" fontId="2" fillId="153" borderId="0" xfId="0" applyFont="1" applyFill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6" fillId="130" borderId="1" xfId="0" applyFont="1" applyFill="1" applyBorder="1" applyAlignment="1">
      <alignment wrapText="1"/>
    </xf>
    <xf numFmtId="0" fontId="8" fillId="158" borderId="0" xfId="0" applyFont="1" applyFill="1" applyAlignment="1"/>
    <xf numFmtId="0" fontId="9" fillId="0" borderId="0" xfId="0" applyFont="1" applyAlignment="1"/>
    <xf numFmtId="0" fontId="4" fillId="156" borderId="0" xfId="0" applyFont="1" applyFill="1" applyAlignment="1"/>
    <xf numFmtId="0" fontId="4" fillId="156" borderId="0" xfId="0" applyFont="1" applyFill="1" applyAlignment="1">
      <alignment horizontal="right"/>
    </xf>
    <xf numFmtId="0" fontId="4" fillId="0" borderId="0" xfId="0" applyFont="1" applyAlignment="1"/>
    <xf numFmtId="0" fontId="17" fillId="0" borderId="0" xfId="0" applyFont="1" applyAlignment="1"/>
    <xf numFmtId="0" fontId="13" fillId="0" borderId="0" xfId="0" applyFont="1" applyAlignment="1"/>
    <xf numFmtId="0" fontId="2" fillId="159" borderId="0" xfId="0" applyFont="1" applyFill="1" applyAlignment="1"/>
    <xf numFmtId="0" fontId="2" fillId="159" borderId="0" xfId="0" applyFont="1" applyFill="1" applyAlignment="1">
      <alignment horizontal="right"/>
    </xf>
    <xf numFmtId="0" fontId="18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19" fillId="153" borderId="0" xfId="0" applyFont="1" applyFill="1" applyAlignment="1"/>
    <xf numFmtId="0" fontId="11" fillId="153" borderId="1" xfId="0" applyFont="1" applyFill="1" applyBorder="1" applyAlignment="1">
      <alignment wrapText="1"/>
    </xf>
    <xf numFmtId="0" fontId="12" fillId="156" borderId="0" xfId="0" applyFont="1" applyFill="1" applyAlignment="1"/>
    <xf numFmtId="0" fontId="20" fillId="130" borderId="0" xfId="0" applyFont="1" applyFill="1" applyAlignment="1"/>
    <xf numFmtId="0" fontId="2" fillId="114" borderId="0" xfId="0" applyFont="1" applyFill="1" applyAlignment="1"/>
    <xf numFmtId="0" fontId="4" fillId="53" borderId="0" xfId="0" applyFont="1" applyFill="1" applyAlignment="1"/>
    <xf numFmtId="0" fontId="21" fillId="0" borderId="0" xfId="0" applyFont="1" applyAlignment="1"/>
    <xf numFmtId="0" fontId="8" fillId="159" borderId="0" xfId="0" applyFont="1" applyFill="1" applyAlignment="1"/>
    <xf numFmtId="0" fontId="12" fillId="160" borderId="0" xfId="0" applyFont="1" applyFill="1" applyAlignment="1">
      <alignment horizontal="right"/>
    </xf>
    <xf numFmtId="0" fontId="23" fillId="0" borderId="0" xfId="0" applyFont="1" applyAlignment="1"/>
    <xf numFmtId="0" fontId="12" fillId="160" borderId="0" xfId="0" applyFont="1" applyFill="1" applyAlignment="1"/>
    <xf numFmtId="0" fontId="24" fillId="0" borderId="0" xfId="0" applyFont="1" applyAlignment="1"/>
    <xf numFmtId="0" fontId="12" fillId="0" borderId="0" xfId="0" applyFont="1" applyFill="1" applyAlignment="1"/>
    <xf numFmtId="0" fontId="12" fillId="0" borderId="0" xfId="0" applyFont="1" applyFill="1"/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0" fillId="0" borderId="0" xfId="0"/>
    <xf numFmtId="0" fontId="24" fillId="0" borderId="2" xfId="0" applyFont="1" applyFill="1" applyBorder="1"/>
    <xf numFmtId="0" fontId="24" fillId="0" borderId="0" xfId="0" applyFont="1"/>
    <xf numFmtId="0" fontId="12" fillId="161" borderId="0" xfId="0" applyFont="1" applyFill="1" applyAlignment="1"/>
    <xf numFmtId="0" fontId="12" fillId="161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bigseo.com/consultoria-seo" TargetMode="External"/><Relationship Id="rId13" Type="http://schemas.openxmlformats.org/officeDocument/2006/relationships/hyperlink" Target="http://bigseo.com/seo-ecommerce" TargetMode="External"/><Relationship Id="rId18" Type="http://schemas.openxmlformats.org/officeDocument/2006/relationships/hyperlink" Target="http://bigseo.com/agencia-analitica-web" TargetMode="External"/><Relationship Id="rId3" Type="http://schemas.openxmlformats.org/officeDocument/2006/relationships/hyperlink" Target="http://bigseo.com/consultora-marketing" TargetMode="External"/><Relationship Id="rId7" Type="http://schemas.openxmlformats.org/officeDocument/2006/relationships/hyperlink" Target="http://bigseo.com/seo/barcelona" TargetMode="External"/><Relationship Id="rId12" Type="http://schemas.openxmlformats.org/officeDocument/2006/relationships/hyperlink" Target="http://bigseo.com/seo-amazon" TargetMode="External"/><Relationship Id="rId17" Type="http://schemas.openxmlformats.org/officeDocument/2006/relationships/hyperlink" Target="http://bigseo.com/seo-internacional" TargetMode="External"/><Relationship Id="rId2" Type="http://schemas.openxmlformats.org/officeDocument/2006/relationships/hyperlink" Target="http://bigseo.com/expertos-marketing-digital" TargetMode="External"/><Relationship Id="rId16" Type="http://schemas.openxmlformats.org/officeDocument/2006/relationships/hyperlink" Target="http://bigseo.com/seo-youtube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://bigseo.com/agencia" TargetMode="External"/><Relationship Id="rId6" Type="http://schemas.openxmlformats.org/officeDocument/2006/relationships/hyperlink" Target="http://bigseo.com/seo" TargetMode="External"/><Relationship Id="rId11" Type="http://schemas.openxmlformats.org/officeDocument/2006/relationships/hyperlink" Target="http://bigseo.com/dise" TargetMode="External"/><Relationship Id="rId5" Type="http://schemas.openxmlformats.org/officeDocument/2006/relationships/hyperlink" Target="http://bigseo.com/agencia/barcelona" TargetMode="External"/><Relationship Id="rId15" Type="http://schemas.openxmlformats.org/officeDocument/2006/relationships/hyperlink" Target="http://bigseo.com/seo-prestashop" TargetMode="External"/><Relationship Id="rId10" Type="http://schemas.openxmlformats.org/officeDocument/2006/relationships/hyperlink" Target="http://bigseo.com/seo-local-barcelona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://bigseo.com/consultor-marketing" TargetMode="External"/><Relationship Id="rId9" Type="http://schemas.openxmlformats.org/officeDocument/2006/relationships/hyperlink" Target="http://bigseo.com/seo-local" TargetMode="External"/><Relationship Id="rId14" Type="http://schemas.openxmlformats.org/officeDocument/2006/relationships/hyperlink" Target="http://bigseo.com/seo-wordp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6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6.5" customWidth="1"/>
  </cols>
  <sheetData>
    <row r="1" spans="1:15" ht="15.75" customHeight="1" x14ac:dyDescent="0.2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ht="16" x14ac:dyDescent="0.2">
      <c r="A2" s="10" t="s">
        <v>15</v>
      </c>
      <c r="B2" s="11">
        <v>6600</v>
      </c>
      <c r="C2" s="3"/>
      <c r="D2" s="12">
        <v>2900</v>
      </c>
      <c r="E2" s="13">
        <v>3600</v>
      </c>
      <c r="F2" s="13">
        <v>3600</v>
      </c>
      <c r="G2" s="13">
        <v>3600</v>
      </c>
      <c r="H2" s="13">
        <v>3600</v>
      </c>
      <c r="I2" s="14">
        <v>4400</v>
      </c>
      <c r="J2" s="12">
        <v>2900</v>
      </c>
      <c r="K2" s="13">
        <v>3600</v>
      </c>
      <c r="L2" s="15">
        <v>18100</v>
      </c>
      <c r="M2" s="16">
        <v>14800</v>
      </c>
      <c r="N2" s="17">
        <v>12100</v>
      </c>
      <c r="O2" s="17">
        <v>12100</v>
      </c>
    </row>
    <row r="3" spans="1:15" ht="16" x14ac:dyDescent="0.2">
      <c r="A3" s="18" t="s">
        <v>16</v>
      </c>
      <c r="B3" s="11">
        <v>6600</v>
      </c>
      <c r="C3" s="3"/>
      <c r="D3" s="12">
        <v>2900</v>
      </c>
      <c r="E3" s="13">
        <v>3600</v>
      </c>
      <c r="F3" s="13">
        <v>3600</v>
      </c>
      <c r="G3" s="13">
        <v>3600</v>
      </c>
      <c r="H3" s="13">
        <v>3600</v>
      </c>
      <c r="I3" s="14">
        <v>4400</v>
      </c>
      <c r="J3" s="12">
        <v>2900</v>
      </c>
      <c r="K3" s="13">
        <v>3600</v>
      </c>
      <c r="L3" s="15">
        <v>18100</v>
      </c>
      <c r="M3" s="16">
        <v>14800</v>
      </c>
      <c r="N3" s="17">
        <v>12100</v>
      </c>
      <c r="O3" s="17">
        <v>12100</v>
      </c>
    </row>
    <row r="4" spans="1:15" ht="16" x14ac:dyDescent="0.2">
      <c r="A4" s="18" t="s">
        <v>17</v>
      </c>
      <c r="B4" s="11">
        <v>2900</v>
      </c>
      <c r="C4" s="3"/>
      <c r="D4" s="19">
        <v>2900</v>
      </c>
      <c r="E4" s="15">
        <v>3600</v>
      </c>
      <c r="F4" s="15">
        <v>3600</v>
      </c>
      <c r="G4" s="19">
        <v>2900</v>
      </c>
      <c r="H4" s="12">
        <v>2400</v>
      </c>
      <c r="I4" s="19">
        <v>2900</v>
      </c>
      <c r="J4" s="12">
        <v>2400</v>
      </c>
      <c r="K4" s="12">
        <v>2400</v>
      </c>
      <c r="L4" s="12">
        <v>2400</v>
      </c>
      <c r="M4" s="19">
        <v>2900</v>
      </c>
      <c r="N4" s="12">
        <v>2400</v>
      </c>
      <c r="O4" s="12">
        <v>2400</v>
      </c>
    </row>
    <row r="5" spans="1:15" ht="16" x14ac:dyDescent="0.2">
      <c r="A5" s="18" t="s">
        <v>18</v>
      </c>
      <c r="B5" s="11">
        <v>2900</v>
      </c>
      <c r="C5" s="3"/>
      <c r="D5" s="15">
        <v>2900</v>
      </c>
      <c r="E5" s="15">
        <v>2900</v>
      </c>
      <c r="F5" s="15">
        <v>2900</v>
      </c>
      <c r="G5" s="15">
        <v>2900</v>
      </c>
      <c r="H5" s="15">
        <v>2900</v>
      </c>
      <c r="I5" s="15">
        <v>2900</v>
      </c>
      <c r="J5" s="20">
        <v>2400</v>
      </c>
      <c r="K5" s="15">
        <v>2900</v>
      </c>
      <c r="L5" s="15">
        <v>2900</v>
      </c>
      <c r="M5" s="20">
        <v>2400</v>
      </c>
      <c r="N5" s="12">
        <v>1900</v>
      </c>
      <c r="O5" s="12">
        <v>1900</v>
      </c>
    </row>
    <row r="6" spans="1:15" ht="16" x14ac:dyDescent="0.2">
      <c r="A6" s="18" t="s">
        <v>19</v>
      </c>
      <c r="B6" s="11">
        <v>2900</v>
      </c>
      <c r="C6" s="3"/>
      <c r="D6" s="15">
        <v>2900</v>
      </c>
      <c r="E6" s="15">
        <v>2900</v>
      </c>
      <c r="F6" s="15">
        <v>2900</v>
      </c>
      <c r="G6" s="15">
        <v>2900</v>
      </c>
      <c r="H6" s="15">
        <v>2900</v>
      </c>
      <c r="I6" s="15">
        <v>2900</v>
      </c>
      <c r="J6" s="20">
        <v>2400</v>
      </c>
      <c r="K6" s="15">
        <v>2900</v>
      </c>
      <c r="L6" s="15">
        <v>2900</v>
      </c>
      <c r="M6" s="20">
        <v>2400</v>
      </c>
      <c r="N6" s="12">
        <v>1900</v>
      </c>
      <c r="O6" s="12">
        <v>1900</v>
      </c>
    </row>
    <row r="7" spans="1:15" ht="16" x14ac:dyDescent="0.2">
      <c r="A7" s="18" t="s">
        <v>20</v>
      </c>
      <c r="B7" s="11">
        <v>2900</v>
      </c>
      <c r="C7" s="3"/>
      <c r="D7" s="19">
        <v>2900</v>
      </c>
      <c r="E7" s="15">
        <v>3600</v>
      </c>
      <c r="F7" s="15">
        <v>3600</v>
      </c>
      <c r="G7" s="19">
        <v>2900</v>
      </c>
      <c r="H7" s="12">
        <v>2400</v>
      </c>
      <c r="I7" s="19">
        <v>2900</v>
      </c>
      <c r="J7" s="12">
        <v>2400</v>
      </c>
      <c r="K7" s="12">
        <v>2400</v>
      </c>
      <c r="L7" s="12">
        <v>2400</v>
      </c>
      <c r="M7" s="19">
        <v>2900</v>
      </c>
      <c r="N7" s="12">
        <v>2400</v>
      </c>
      <c r="O7" s="12">
        <v>2400</v>
      </c>
    </row>
    <row r="8" spans="1:15" ht="16" x14ac:dyDescent="0.2">
      <c r="A8" s="18" t="s">
        <v>21</v>
      </c>
      <c r="B8" s="11">
        <v>2900</v>
      </c>
      <c r="C8" s="3"/>
      <c r="D8" s="15">
        <v>2900</v>
      </c>
      <c r="E8" s="15">
        <v>2900</v>
      </c>
      <c r="F8" s="15">
        <v>2900</v>
      </c>
      <c r="G8" s="15">
        <v>2900</v>
      </c>
      <c r="H8" s="15">
        <v>2900</v>
      </c>
      <c r="I8" s="15">
        <v>2900</v>
      </c>
      <c r="J8" s="20">
        <v>2400</v>
      </c>
      <c r="K8" s="15">
        <v>2900</v>
      </c>
      <c r="L8" s="15">
        <v>2900</v>
      </c>
      <c r="M8" s="20">
        <v>2400</v>
      </c>
      <c r="N8" s="12">
        <v>1900</v>
      </c>
      <c r="O8" s="12">
        <v>1900</v>
      </c>
    </row>
    <row r="9" spans="1:15" ht="16" x14ac:dyDescent="0.2">
      <c r="A9" s="18" t="s">
        <v>22</v>
      </c>
      <c r="B9" s="11">
        <v>2900</v>
      </c>
      <c r="C9" s="3"/>
      <c r="D9" s="21">
        <v>3600</v>
      </c>
      <c r="E9" s="13">
        <v>2900</v>
      </c>
      <c r="F9" s="13">
        <v>2900</v>
      </c>
      <c r="G9" s="13">
        <v>2900</v>
      </c>
      <c r="H9" s="20">
        <v>2400</v>
      </c>
      <c r="I9" s="20">
        <v>2400</v>
      </c>
      <c r="J9" s="12">
        <v>1900</v>
      </c>
      <c r="K9" s="13">
        <v>2900</v>
      </c>
      <c r="L9" s="21">
        <v>3600</v>
      </c>
      <c r="M9" s="15">
        <v>4400</v>
      </c>
      <c r="N9" s="13">
        <v>2900</v>
      </c>
      <c r="O9" s="13">
        <v>2900</v>
      </c>
    </row>
    <row r="10" spans="1:15" ht="16" x14ac:dyDescent="0.2">
      <c r="A10" s="18" t="s">
        <v>23</v>
      </c>
      <c r="B10" s="11">
        <v>2900</v>
      </c>
      <c r="C10" s="3"/>
      <c r="D10" s="15">
        <v>2900</v>
      </c>
      <c r="E10" s="15">
        <v>2900</v>
      </c>
      <c r="F10" s="15">
        <v>2900</v>
      </c>
      <c r="G10" s="15">
        <v>2900</v>
      </c>
      <c r="H10" s="15">
        <v>2900</v>
      </c>
      <c r="I10" s="15">
        <v>2900</v>
      </c>
      <c r="J10" s="20">
        <v>2400</v>
      </c>
      <c r="K10" s="15">
        <v>2900</v>
      </c>
      <c r="L10" s="15">
        <v>2900</v>
      </c>
      <c r="M10" s="20">
        <v>2400</v>
      </c>
      <c r="N10" s="12">
        <v>1900</v>
      </c>
      <c r="O10" s="12">
        <v>1900</v>
      </c>
    </row>
    <row r="11" spans="1:15" ht="16" x14ac:dyDescent="0.2">
      <c r="A11" s="10" t="s">
        <v>24</v>
      </c>
      <c r="B11" s="11">
        <v>2400</v>
      </c>
      <c r="C11" s="3"/>
      <c r="D11" s="13">
        <v>2400</v>
      </c>
      <c r="E11" s="15">
        <v>2900</v>
      </c>
      <c r="F11" s="15">
        <v>2900</v>
      </c>
      <c r="G11" s="13">
        <v>2400</v>
      </c>
      <c r="H11" s="13">
        <v>2400</v>
      </c>
      <c r="I11" s="22">
        <v>1600</v>
      </c>
      <c r="J11" s="12">
        <v>1300</v>
      </c>
      <c r="K11" s="23">
        <v>1900</v>
      </c>
      <c r="L11" s="13">
        <v>2400</v>
      </c>
      <c r="M11" s="13">
        <v>2400</v>
      </c>
      <c r="N11" s="23">
        <v>1900</v>
      </c>
      <c r="O11" s="23">
        <v>1900</v>
      </c>
    </row>
    <row r="12" spans="1:15" ht="16" x14ac:dyDescent="0.2">
      <c r="A12" s="18" t="s">
        <v>26</v>
      </c>
      <c r="B12" s="11">
        <v>1900</v>
      </c>
      <c r="C12" s="3"/>
      <c r="D12" s="13">
        <v>1900</v>
      </c>
      <c r="E12" s="13">
        <v>1900</v>
      </c>
      <c r="F12" s="15">
        <v>2400</v>
      </c>
      <c r="G12" s="15">
        <v>2400</v>
      </c>
      <c r="H12" s="13">
        <v>1900</v>
      </c>
      <c r="I12" s="13">
        <v>1900</v>
      </c>
      <c r="J12" s="13">
        <v>1900</v>
      </c>
      <c r="K12" s="13">
        <v>1900</v>
      </c>
      <c r="L12" s="13">
        <v>1900</v>
      </c>
      <c r="M12" s="15">
        <v>2400</v>
      </c>
      <c r="N12" s="12">
        <v>1600</v>
      </c>
      <c r="O12" s="12">
        <v>1600</v>
      </c>
    </row>
    <row r="13" spans="1:15" ht="16" x14ac:dyDescent="0.2">
      <c r="A13" s="18" t="s">
        <v>29</v>
      </c>
      <c r="B13" s="11">
        <v>1600</v>
      </c>
      <c r="C13" s="3"/>
      <c r="D13" s="15">
        <v>1900</v>
      </c>
      <c r="E13" s="15">
        <v>1900</v>
      </c>
      <c r="F13" s="15">
        <v>1900</v>
      </c>
      <c r="G13" s="15">
        <v>1900</v>
      </c>
      <c r="H13" s="24">
        <v>1600</v>
      </c>
      <c r="I13" s="25">
        <v>1300</v>
      </c>
      <c r="J13" s="12">
        <v>1000</v>
      </c>
      <c r="K13" s="25">
        <v>1300</v>
      </c>
      <c r="L13" s="24">
        <v>1600</v>
      </c>
      <c r="M13" s="24">
        <v>1600</v>
      </c>
      <c r="N13" s="24">
        <v>1600</v>
      </c>
      <c r="O13" s="24">
        <v>1600</v>
      </c>
    </row>
    <row r="14" spans="1:15" ht="16" x14ac:dyDescent="0.2">
      <c r="A14" s="18" t="s">
        <v>31</v>
      </c>
      <c r="B14" s="11">
        <v>1300</v>
      </c>
      <c r="C14" s="3"/>
      <c r="D14" s="15">
        <v>1600</v>
      </c>
      <c r="E14" s="15">
        <v>1600</v>
      </c>
      <c r="F14" s="15">
        <v>1600</v>
      </c>
      <c r="G14" s="15">
        <v>1600</v>
      </c>
      <c r="H14" s="13">
        <v>1300</v>
      </c>
      <c r="I14" s="12">
        <v>1000</v>
      </c>
      <c r="J14" s="12">
        <v>1000</v>
      </c>
      <c r="K14" s="13">
        <v>1300</v>
      </c>
      <c r="L14" s="13">
        <v>1300</v>
      </c>
      <c r="M14" s="15">
        <v>1600</v>
      </c>
      <c r="N14" s="12">
        <v>1000</v>
      </c>
      <c r="O14" s="12">
        <v>1000</v>
      </c>
    </row>
    <row r="15" spans="1:15" ht="16" x14ac:dyDescent="0.2">
      <c r="A15" s="18" t="s">
        <v>32</v>
      </c>
      <c r="B15" s="11">
        <v>1300</v>
      </c>
      <c r="C15" s="3"/>
      <c r="D15" s="12">
        <v>1000</v>
      </c>
      <c r="E15" s="15">
        <v>1300</v>
      </c>
      <c r="F15" s="15">
        <v>1300</v>
      </c>
      <c r="G15" s="15">
        <v>1300</v>
      </c>
      <c r="H15" s="15">
        <v>1300</v>
      </c>
      <c r="I15" s="15">
        <v>1300</v>
      </c>
      <c r="J15" s="12">
        <v>1000</v>
      </c>
      <c r="K15" s="15">
        <v>1300</v>
      </c>
      <c r="L15" s="12">
        <v>1000</v>
      </c>
      <c r="M15" s="12">
        <v>1000</v>
      </c>
      <c r="N15" s="12">
        <v>1000</v>
      </c>
      <c r="O15" s="12">
        <v>1000</v>
      </c>
    </row>
    <row r="16" spans="1:15" ht="16" x14ac:dyDescent="0.2">
      <c r="A16" s="10" t="s">
        <v>33</v>
      </c>
      <c r="B16" s="11">
        <v>1000</v>
      </c>
      <c r="C16" s="3"/>
      <c r="D16" s="12">
        <v>390</v>
      </c>
      <c r="E16" s="12">
        <v>390</v>
      </c>
      <c r="F16" s="26">
        <v>480</v>
      </c>
      <c r="G16" s="26">
        <v>480</v>
      </c>
      <c r="H16" s="13">
        <v>590</v>
      </c>
      <c r="I16" s="14">
        <v>720</v>
      </c>
      <c r="J16" s="13">
        <v>590</v>
      </c>
      <c r="K16" s="14">
        <v>720</v>
      </c>
      <c r="L16" s="15">
        <v>2900</v>
      </c>
      <c r="M16" s="15">
        <v>2900</v>
      </c>
      <c r="N16" s="13">
        <v>590</v>
      </c>
      <c r="O16" s="13">
        <v>590</v>
      </c>
    </row>
    <row r="17" spans="1:15" ht="16" x14ac:dyDescent="0.2">
      <c r="A17" s="10" t="s">
        <v>35</v>
      </c>
      <c r="B17" s="11">
        <v>1000</v>
      </c>
      <c r="C17" s="3"/>
      <c r="D17" s="27">
        <v>1000</v>
      </c>
      <c r="E17" s="27">
        <v>1000</v>
      </c>
      <c r="F17" s="27">
        <v>1000</v>
      </c>
      <c r="G17" s="27">
        <v>1000</v>
      </c>
      <c r="H17" s="27">
        <v>1000</v>
      </c>
      <c r="I17" s="15">
        <v>2400</v>
      </c>
      <c r="J17" s="12">
        <v>720</v>
      </c>
      <c r="K17" s="28">
        <v>880</v>
      </c>
      <c r="L17" s="28">
        <v>880</v>
      </c>
      <c r="M17" s="28">
        <v>880</v>
      </c>
      <c r="N17" s="12">
        <v>720</v>
      </c>
      <c r="O17" s="12">
        <v>720</v>
      </c>
    </row>
    <row r="18" spans="1:15" ht="16" x14ac:dyDescent="0.2">
      <c r="A18" s="10" t="s">
        <v>36</v>
      </c>
      <c r="B18" s="11">
        <v>1000</v>
      </c>
      <c r="C18" s="3"/>
      <c r="D18" s="27">
        <v>1000</v>
      </c>
      <c r="E18" s="27">
        <v>1000</v>
      </c>
      <c r="F18" s="27">
        <v>1000</v>
      </c>
      <c r="G18" s="27">
        <v>1000</v>
      </c>
      <c r="H18" s="27">
        <v>1000</v>
      </c>
      <c r="I18" s="15">
        <v>2400</v>
      </c>
      <c r="J18" s="12">
        <v>720</v>
      </c>
      <c r="K18" s="28">
        <v>880</v>
      </c>
      <c r="L18" s="28">
        <v>880</v>
      </c>
      <c r="M18" s="28">
        <v>880</v>
      </c>
      <c r="N18" s="12">
        <v>720</v>
      </c>
      <c r="O18" s="12">
        <v>720</v>
      </c>
    </row>
    <row r="19" spans="1:15" ht="16" x14ac:dyDescent="0.2">
      <c r="A19" s="10" t="s">
        <v>37</v>
      </c>
      <c r="B19" s="11">
        <v>880</v>
      </c>
      <c r="C19" s="3"/>
      <c r="D19" s="26">
        <v>480</v>
      </c>
      <c r="E19" s="26">
        <v>480</v>
      </c>
      <c r="F19" s="26">
        <v>480</v>
      </c>
      <c r="G19" s="13">
        <v>590</v>
      </c>
      <c r="H19" s="26">
        <v>480</v>
      </c>
      <c r="I19" s="13">
        <v>590</v>
      </c>
      <c r="J19" s="12">
        <v>390</v>
      </c>
      <c r="K19" s="13">
        <v>590</v>
      </c>
      <c r="L19" s="15">
        <v>3600</v>
      </c>
      <c r="M19" s="29">
        <v>2900</v>
      </c>
      <c r="N19" s="13">
        <v>590</v>
      </c>
      <c r="O19" s="13">
        <v>590</v>
      </c>
    </row>
    <row r="20" spans="1:15" ht="16" x14ac:dyDescent="0.2">
      <c r="A20" s="10" t="s">
        <v>38</v>
      </c>
      <c r="B20" s="11">
        <v>880</v>
      </c>
      <c r="C20" s="3"/>
      <c r="D20" s="12">
        <v>720</v>
      </c>
      <c r="E20" s="15">
        <v>1000</v>
      </c>
      <c r="F20" s="13">
        <v>880</v>
      </c>
      <c r="G20" s="13">
        <v>880</v>
      </c>
      <c r="H20" s="13">
        <v>880</v>
      </c>
      <c r="I20" s="13">
        <v>880</v>
      </c>
      <c r="J20" s="13">
        <v>880</v>
      </c>
      <c r="K20" s="13">
        <v>880</v>
      </c>
      <c r="L20" s="12">
        <v>720</v>
      </c>
      <c r="M20" s="13">
        <v>880</v>
      </c>
      <c r="N20" s="13">
        <v>880</v>
      </c>
      <c r="O20" s="13">
        <v>880</v>
      </c>
    </row>
    <row r="21" spans="1:15" ht="16" x14ac:dyDescent="0.2">
      <c r="A21" s="10" t="s">
        <v>39</v>
      </c>
      <c r="B21" s="11">
        <v>880</v>
      </c>
      <c r="C21" s="3"/>
      <c r="D21" s="26">
        <v>480</v>
      </c>
      <c r="E21" s="26">
        <v>480</v>
      </c>
      <c r="F21" s="26">
        <v>480</v>
      </c>
      <c r="G21" s="13">
        <v>590</v>
      </c>
      <c r="H21" s="26">
        <v>480</v>
      </c>
      <c r="I21" s="13">
        <v>590</v>
      </c>
      <c r="J21" s="12">
        <v>390</v>
      </c>
      <c r="K21" s="13">
        <v>590</v>
      </c>
      <c r="L21" s="15">
        <v>3600</v>
      </c>
      <c r="M21" s="29">
        <v>2900</v>
      </c>
      <c r="N21" s="13">
        <v>590</v>
      </c>
      <c r="O21" s="13">
        <v>590</v>
      </c>
    </row>
    <row r="22" spans="1:15" ht="16" x14ac:dyDescent="0.2">
      <c r="A22" s="10" t="s">
        <v>40</v>
      </c>
      <c r="B22" s="11">
        <v>880</v>
      </c>
      <c r="C22" s="3"/>
      <c r="D22" s="30">
        <v>1000</v>
      </c>
      <c r="E22" s="15">
        <v>1300</v>
      </c>
      <c r="F22" s="30">
        <v>1000</v>
      </c>
      <c r="G22" s="30">
        <v>1000</v>
      </c>
      <c r="H22" s="13">
        <v>880</v>
      </c>
      <c r="I22" s="13">
        <v>880</v>
      </c>
      <c r="J22" s="12">
        <v>480</v>
      </c>
      <c r="K22" s="31">
        <v>720</v>
      </c>
      <c r="L22" s="13">
        <v>880</v>
      </c>
      <c r="M22" s="30">
        <v>1000</v>
      </c>
      <c r="N22" s="31">
        <v>720</v>
      </c>
      <c r="O22" s="31">
        <v>720</v>
      </c>
    </row>
    <row r="23" spans="1:15" ht="16" x14ac:dyDescent="0.2">
      <c r="A23" s="10" t="s">
        <v>41</v>
      </c>
      <c r="B23" s="11">
        <v>720</v>
      </c>
      <c r="C23" s="3"/>
      <c r="D23" s="12">
        <v>590</v>
      </c>
      <c r="E23" s="12">
        <v>590</v>
      </c>
      <c r="F23" s="12">
        <v>590</v>
      </c>
      <c r="G23" s="32">
        <v>720</v>
      </c>
      <c r="H23" s="12">
        <v>590</v>
      </c>
      <c r="I23" s="12">
        <v>590</v>
      </c>
      <c r="J23" s="12">
        <v>590</v>
      </c>
      <c r="K23" s="32">
        <v>720</v>
      </c>
      <c r="L23" s="15">
        <v>880</v>
      </c>
      <c r="M23" s="32">
        <v>720</v>
      </c>
      <c r="N23" s="12">
        <v>590</v>
      </c>
      <c r="O23" s="12">
        <v>590</v>
      </c>
    </row>
    <row r="24" spans="1:15" ht="16" x14ac:dyDescent="0.2">
      <c r="A24" s="10" t="s">
        <v>42</v>
      </c>
      <c r="B24" s="11">
        <v>720</v>
      </c>
      <c r="C24" s="3"/>
      <c r="D24" s="15">
        <v>1000</v>
      </c>
      <c r="E24" s="15">
        <v>1000</v>
      </c>
      <c r="F24" s="15">
        <v>1000</v>
      </c>
      <c r="G24" s="33">
        <v>880</v>
      </c>
      <c r="H24" s="34">
        <v>480</v>
      </c>
      <c r="I24" s="34">
        <v>480</v>
      </c>
      <c r="J24" s="12">
        <v>390</v>
      </c>
      <c r="K24" s="34">
        <v>480</v>
      </c>
      <c r="L24" s="34">
        <v>480</v>
      </c>
      <c r="M24" s="34">
        <v>480</v>
      </c>
      <c r="N24" s="35">
        <v>590</v>
      </c>
      <c r="O24" s="35">
        <v>590</v>
      </c>
    </row>
    <row r="25" spans="1:15" ht="16" x14ac:dyDescent="0.2">
      <c r="A25" s="10" t="s">
        <v>43</v>
      </c>
      <c r="B25" s="11">
        <v>720</v>
      </c>
      <c r="C25" s="3"/>
      <c r="D25" s="12">
        <v>590</v>
      </c>
      <c r="E25" s="13">
        <v>720</v>
      </c>
      <c r="F25" s="12">
        <v>590</v>
      </c>
      <c r="G25" s="13">
        <v>720</v>
      </c>
      <c r="H25" s="13">
        <v>720</v>
      </c>
      <c r="I25" s="13">
        <v>720</v>
      </c>
      <c r="J25" s="13">
        <v>720</v>
      </c>
      <c r="K25" s="13">
        <v>720</v>
      </c>
      <c r="L25" s="15">
        <v>880</v>
      </c>
      <c r="M25" s="12">
        <v>590</v>
      </c>
      <c r="N25" s="12">
        <v>590</v>
      </c>
      <c r="O25" s="12">
        <v>590</v>
      </c>
    </row>
    <row r="26" spans="1:15" ht="16" x14ac:dyDescent="0.2">
      <c r="A26" s="18" t="s">
        <v>44</v>
      </c>
      <c r="B26" s="11">
        <v>720</v>
      </c>
      <c r="C26" s="3"/>
      <c r="D26" s="15">
        <v>880</v>
      </c>
      <c r="E26" s="15">
        <v>880</v>
      </c>
      <c r="F26" s="15">
        <v>880</v>
      </c>
      <c r="G26" s="15">
        <v>880</v>
      </c>
      <c r="H26" s="15">
        <v>880</v>
      </c>
      <c r="I26" s="13">
        <v>720</v>
      </c>
      <c r="J26" s="36">
        <v>590</v>
      </c>
      <c r="K26" s="13">
        <v>720</v>
      </c>
      <c r="L26" s="36">
        <v>590</v>
      </c>
      <c r="M26" s="12">
        <v>480</v>
      </c>
      <c r="N26" s="12">
        <v>480</v>
      </c>
      <c r="O26" s="12">
        <v>480</v>
      </c>
    </row>
    <row r="27" spans="1:15" ht="16" x14ac:dyDescent="0.2">
      <c r="A27" s="18" t="s">
        <v>45</v>
      </c>
      <c r="B27" s="11">
        <v>720</v>
      </c>
      <c r="C27" s="3"/>
      <c r="D27" s="12">
        <v>590</v>
      </c>
      <c r="E27" s="13">
        <v>720</v>
      </c>
      <c r="F27" s="12">
        <v>590</v>
      </c>
      <c r="G27" s="13">
        <v>720</v>
      </c>
      <c r="H27" s="13">
        <v>720</v>
      </c>
      <c r="I27" s="13">
        <v>720</v>
      </c>
      <c r="J27" s="13">
        <v>720</v>
      </c>
      <c r="K27" s="13">
        <v>720</v>
      </c>
      <c r="L27" s="15">
        <v>880</v>
      </c>
      <c r="M27" s="12">
        <v>590</v>
      </c>
      <c r="N27" s="12">
        <v>590</v>
      </c>
      <c r="O27" s="12">
        <v>590</v>
      </c>
    </row>
    <row r="28" spans="1:15" ht="16" x14ac:dyDescent="0.2">
      <c r="A28" s="18" t="s">
        <v>46</v>
      </c>
      <c r="B28" s="11">
        <v>720</v>
      </c>
      <c r="C28" s="3"/>
      <c r="D28" s="13">
        <v>720</v>
      </c>
      <c r="E28" s="37">
        <v>880</v>
      </c>
      <c r="F28" s="13">
        <v>720</v>
      </c>
      <c r="G28" s="37">
        <v>880</v>
      </c>
      <c r="H28" s="13">
        <v>720</v>
      </c>
      <c r="I28" s="13">
        <v>720</v>
      </c>
      <c r="J28" s="13">
        <v>720</v>
      </c>
      <c r="K28" s="15">
        <v>1000</v>
      </c>
      <c r="L28" s="13">
        <v>720</v>
      </c>
      <c r="M28" s="37">
        <v>880</v>
      </c>
      <c r="N28" s="12">
        <v>590</v>
      </c>
      <c r="O28" s="12">
        <v>590</v>
      </c>
    </row>
    <row r="29" spans="1:15" ht="16" x14ac:dyDescent="0.2">
      <c r="A29" s="18" t="s">
        <v>575</v>
      </c>
      <c r="B29" s="11">
        <v>720</v>
      </c>
      <c r="C29" s="3"/>
      <c r="D29" s="13">
        <v>720</v>
      </c>
      <c r="E29" s="15">
        <v>1000</v>
      </c>
      <c r="F29" s="13">
        <v>720</v>
      </c>
      <c r="G29" s="13">
        <v>720</v>
      </c>
      <c r="H29" s="12">
        <v>590</v>
      </c>
      <c r="I29" s="12">
        <v>590</v>
      </c>
      <c r="J29" s="12">
        <v>590</v>
      </c>
      <c r="K29" s="37">
        <v>880</v>
      </c>
      <c r="L29" s="15">
        <v>1000</v>
      </c>
      <c r="M29" s="13">
        <v>720</v>
      </c>
      <c r="N29" s="12">
        <v>590</v>
      </c>
      <c r="O29" s="12">
        <v>590</v>
      </c>
    </row>
    <row r="30" spans="1:15" ht="16" x14ac:dyDescent="0.2">
      <c r="A30" s="18" t="s">
        <v>48</v>
      </c>
      <c r="B30" s="11">
        <v>720</v>
      </c>
      <c r="C30" s="3"/>
      <c r="D30" s="13">
        <v>590</v>
      </c>
      <c r="E30" s="32">
        <v>720</v>
      </c>
      <c r="F30" s="13">
        <v>590</v>
      </c>
      <c r="G30" s="32">
        <v>720</v>
      </c>
      <c r="H30" s="12">
        <v>480</v>
      </c>
      <c r="I30" s="12">
        <v>480</v>
      </c>
      <c r="J30" s="13">
        <v>590</v>
      </c>
      <c r="K30" s="32">
        <v>720</v>
      </c>
      <c r="L30" s="15">
        <v>880</v>
      </c>
      <c r="M30" s="15">
        <v>880</v>
      </c>
      <c r="N30" s="13">
        <v>590</v>
      </c>
      <c r="O30" s="13">
        <v>590</v>
      </c>
    </row>
    <row r="31" spans="1:15" ht="16" x14ac:dyDescent="0.2">
      <c r="A31" s="10" t="s">
        <v>49</v>
      </c>
      <c r="B31" s="11">
        <v>720</v>
      </c>
      <c r="C31" s="3"/>
      <c r="D31" s="13">
        <v>590</v>
      </c>
      <c r="E31" s="32">
        <v>720</v>
      </c>
      <c r="F31" s="13">
        <v>590</v>
      </c>
      <c r="G31" s="32">
        <v>720</v>
      </c>
      <c r="H31" s="12">
        <v>480</v>
      </c>
      <c r="I31" s="12">
        <v>480</v>
      </c>
      <c r="J31" s="13">
        <v>590</v>
      </c>
      <c r="K31" s="32">
        <v>720</v>
      </c>
      <c r="L31" s="15">
        <v>880</v>
      </c>
      <c r="M31" s="15">
        <v>880</v>
      </c>
      <c r="N31" s="13">
        <v>590</v>
      </c>
      <c r="O31" s="13">
        <v>590</v>
      </c>
    </row>
    <row r="32" spans="1:15" ht="16" x14ac:dyDescent="0.2">
      <c r="A32" s="18" t="s">
        <v>50</v>
      </c>
      <c r="B32" s="11">
        <v>720</v>
      </c>
      <c r="C32" s="3"/>
      <c r="D32" s="15">
        <v>880</v>
      </c>
      <c r="E32" s="15">
        <v>880</v>
      </c>
      <c r="F32" s="15">
        <v>880</v>
      </c>
      <c r="G32" s="15">
        <v>880</v>
      </c>
      <c r="H32" s="15">
        <v>880</v>
      </c>
      <c r="I32" s="13">
        <v>720</v>
      </c>
      <c r="J32" s="36">
        <v>590</v>
      </c>
      <c r="K32" s="13">
        <v>720</v>
      </c>
      <c r="L32" s="36">
        <v>590</v>
      </c>
      <c r="M32" s="12">
        <v>480</v>
      </c>
      <c r="N32" s="12">
        <v>480</v>
      </c>
      <c r="O32" s="12">
        <v>480</v>
      </c>
    </row>
    <row r="33" spans="1:15" ht="16" x14ac:dyDescent="0.2">
      <c r="A33" s="18" t="s">
        <v>51</v>
      </c>
      <c r="B33" s="11">
        <v>720</v>
      </c>
      <c r="C33" s="3"/>
      <c r="D33" s="13">
        <v>720</v>
      </c>
      <c r="E33" s="15">
        <v>880</v>
      </c>
      <c r="F33" s="13">
        <v>720</v>
      </c>
      <c r="G33" s="15">
        <v>880</v>
      </c>
      <c r="H33" s="13">
        <v>720</v>
      </c>
      <c r="I33" s="15">
        <v>880</v>
      </c>
      <c r="J33" s="13">
        <v>720</v>
      </c>
      <c r="K33" s="13">
        <v>720</v>
      </c>
      <c r="L33" s="13">
        <v>720</v>
      </c>
      <c r="M33" s="12">
        <v>480</v>
      </c>
      <c r="N33" s="36">
        <v>590</v>
      </c>
      <c r="O33" s="36">
        <v>590</v>
      </c>
    </row>
    <row r="34" spans="1:15" ht="16" x14ac:dyDescent="0.2">
      <c r="A34" s="10" t="s">
        <v>52</v>
      </c>
      <c r="B34" s="11">
        <v>720</v>
      </c>
      <c r="C34" s="3"/>
      <c r="D34" s="13">
        <v>720</v>
      </c>
      <c r="E34" s="37">
        <v>880</v>
      </c>
      <c r="F34" s="15">
        <v>1000</v>
      </c>
      <c r="G34" s="37">
        <v>880</v>
      </c>
      <c r="H34" s="13">
        <v>720</v>
      </c>
      <c r="I34" s="13">
        <v>720</v>
      </c>
      <c r="J34" s="12">
        <v>590</v>
      </c>
      <c r="K34" s="13">
        <v>720</v>
      </c>
      <c r="L34" s="12">
        <v>590</v>
      </c>
      <c r="M34" s="12">
        <v>590</v>
      </c>
      <c r="N34" s="12">
        <v>590</v>
      </c>
      <c r="O34" s="12">
        <v>590</v>
      </c>
    </row>
    <row r="35" spans="1:15" ht="16" x14ac:dyDescent="0.2">
      <c r="A35" s="18" t="s">
        <v>53</v>
      </c>
      <c r="B35" s="11">
        <v>590</v>
      </c>
      <c r="C35" s="3"/>
      <c r="D35" s="15">
        <v>720</v>
      </c>
      <c r="E35" s="15">
        <v>720</v>
      </c>
      <c r="F35" s="15">
        <v>720</v>
      </c>
      <c r="G35" s="15">
        <v>720</v>
      </c>
      <c r="H35" s="13">
        <v>590</v>
      </c>
      <c r="I35" s="26">
        <v>480</v>
      </c>
      <c r="J35" s="12">
        <v>390</v>
      </c>
      <c r="K35" s="13">
        <v>590</v>
      </c>
      <c r="L35" s="13">
        <v>590</v>
      </c>
      <c r="M35" s="15">
        <v>720</v>
      </c>
      <c r="N35" s="13">
        <v>590</v>
      </c>
      <c r="O35" s="13">
        <v>590</v>
      </c>
    </row>
    <row r="36" spans="1:15" ht="16" x14ac:dyDescent="0.2">
      <c r="A36" s="18" t="s">
        <v>54</v>
      </c>
      <c r="B36" s="11">
        <v>590</v>
      </c>
      <c r="C36" s="3"/>
      <c r="D36" s="15">
        <v>720</v>
      </c>
      <c r="E36" s="13">
        <v>590</v>
      </c>
      <c r="F36" s="15">
        <v>720</v>
      </c>
      <c r="G36" s="13">
        <v>590</v>
      </c>
      <c r="H36" s="13">
        <v>590</v>
      </c>
      <c r="I36" s="15">
        <v>720</v>
      </c>
      <c r="J36" s="12">
        <v>480</v>
      </c>
      <c r="K36" s="15">
        <v>720</v>
      </c>
      <c r="L36" s="13">
        <v>590</v>
      </c>
      <c r="M36" s="13">
        <v>590</v>
      </c>
      <c r="N36" s="12">
        <v>480</v>
      </c>
      <c r="O36" s="12">
        <v>480</v>
      </c>
    </row>
    <row r="37" spans="1:15" ht="16" x14ac:dyDescent="0.2">
      <c r="A37" s="18" t="s">
        <v>57</v>
      </c>
      <c r="B37" s="11">
        <v>590</v>
      </c>
      <c r="C37" s="3"/>
      <c r="D37" s="13">
        <v>590</v>
      </c>
      <c r="E37" s="15">
        <v>720</v>
      </c>
      <c r="F37" s="13">
        <v>590</v>
      </c>
      <c r="G37" s="13">
        <v>590</v>
      </c>
      <c r="H37" s="13">
        <v>590</v>
      </c>
      <c r="I37" s="26">
        <v>480</v>
      </c>
      <c r="J37" s="12">
        <v>390</v>
      </c>
      <c r="K37" s="15">
        <v>720</v>
      </c>
      <c r="L37" s="13">
        <v>590</v>
      </c>
      <c r="M37" s="13">
        <v>590</v>
      </c>
      <c r="N37" s="26">
        <v>480</v>
      </c>
      <c r="O37" s="26">
        <v>480</v>
      </c>
    </row>
    <row r="38" spans="1:15" ht="16" x14ac:dyDescent="0.2">
      <c r="A38" s="10" t="s">
        <v>58</v>
      </c>
      <c r="B38" s="11">
        <v>590</v>
      </c>
      <c r="C38" s="3"/>
      <c r="D38" s="12">
        <v>480</v>
      </c>
      <c r="E38" s="15">
        <v>720</v>
      </c>
      <c r="F38" s="15">
        <v>720</v>
      </c>
      <c r="G38" s="38">
        <v>590</v>
      </c>
      <c r="H38" s="12">
        <v>480</v>
      </c>
      <c r="I38" s="12">
        <v>480</v>
      </c>
      <c r="J38" s="12">
        <v>480</v>
      </c>
      <c r="K38" s="12">
        <v>480</v>
      </c>
      <c r="L38" s="12">
        <v>480</v>
      </c>
      <c r="M38" s="12">
        <v>480</v>
      </c>
      <c r="N38" s="12">
        <v>480</v>
      </c>
      <c r="O38" s="12">
        <v>480</v>
      </c>
    </row>
    <row r="39" spans="1:15" ht="16" x14ac:dyDescent="0.2">
      <c r="A39" s="10" t="s">
        <v>59</v>
      </c>
      <c r="B39" s="11">
        <v>590</v>
      </c>
      <c r="C39" s="3"/>
      <c r="D39" s="12">
        <v>480</v>
      </c>
      <c r="E39" s="15">
        <v>720</v>
      </c>
      <c r="F39" s="15">
        <v>720</v>
      </c>
      <c r="G39" s="38">
        <v>590</v>
      </c>
      <c r="H39" s="12">
        <v>480</v>
      </c>
      <c r="I39" s="12">
        <v>480</v>
      </c>
      <c r="J39" s="12">
        <v>480</v>
      </c>
      <c r="K39" s="12">
        <v>480</v>
      </c>
      <c r="L39" s="12">
        <v>480</v>
      </c>
      <c r="M39" s="12">
        <v>480</v>
      </c>
      <c r="N39" s="12">
        <v>480</v>
      </c>
      <c r="O39" s="12">
        <v>480</v>
      </c>
    </row>
    <row r="40" spans="1:15" ht="16" x14ac:dyDescent="0.2">
      <c r="A40" s="10" t="s">
        <v>60</v>
      </c>
      <c r="B40" s="11">
        <v>590</v>
      </c>
      <c r="C40" s="3"/>
      <c r="D40" s="13">
        <v>590</v>
      </c>
      <c r="E40" s="12">
        <v>390</v>
      </c>
      <c r="F40" s="12">
        <v>390</v>
      </c>
      <c r="G40" s="13">
        <v>590</v>
      </c>
      <c r="H40" s="12">
        <v>390</v>
      </c>
      <c r="I40" s="15">
        <v>880</v>
      </c>
      <c r="J40" s="13">
        <v>590</v>
      </c>
      <c r="K40" s="26">
        <v>480</v>
      </c>
      <c r="L40" s="13">
        <v>590</v>
      </c>
      <c r="M40" s="13">
        <v>590</v>
      </c>
      <c r="N40" s="32">
        <v>720</v>
      </c>
      <c r="O40" s="32">
        <v>720</v>
      </c>
    </row>
    <row r="41" spans="1:15" ht="16" x14ac:dyDescent="0.2">
      <c r="A41" s="10" t="s">
        <v>61</v>
      </c>
      <c r="B41" s="11">
        <v>590</v>
      </c>
      <c r="C41" s="3"/>
      <c r="D41" s="13">
        <v>590</v>
      </c>
      <c r="E41" s="12">
        <v>390</v>
      </c>
      <c r="F41" s="12">
        <v>390</v>
      </c>
      <c r="G41" s="13">
        <v>590</v>
      </c>
      <c r="H41" s="12">
        <v>390</v>
      </c>
      <c r="I41" s="15">
        <v>880</v>
      </c>
      <c r="J41" s="13">
        <v>590</v>
      </c>
      <c r="K41" s="26">
        <v>480</v>
      </c>
      <c r="L41" s="13">
        <v>590</v>
      </c>
      <c r="M41" s="13">
        <v>590</v>
      </c>
      <c r="N41" s="32">
        <v>720</v>
      </c>
      <c r="O41" s="32">
        <v>720</v>
      </c>
    </row>
    <row r="42" spans="1:15" ht="16" x14ac:dyDescent="0.2">
      <c r="A42" s="10" t="s">
        <v>62</v>
      </c>
      <c r="B42" s="11">
        <v>590</v>
      </c>
      <c r="C42" s="3"/>
      <c r="D42" s="12">
        <v>480</v>
      </c>
      <c r="E42" s="12">
        <v>480</v>
      </c>
      <c r="F42" s="13">
        <v>590</v>
      </c>
      <c r="G42" s="13">
        <v>590</v>
      </c>
      <c r="H42" s="13">
        <v>590</v>
      </c>
      <c r="I42" s="13">
        <v>590</v>
      </c>
      <c r="J42" s="13">
        <v>590</v>
      </c>
      <c r="K42" s="13">
        <v>590</v>
      </c>
      <c r="L42" s="15">
        <v>720</v>
      </c>
      <c r="M42" s="12">
        <v>480</v>
      </c>
      <c r="N42" s="12">
        <v>480</v>
      </c>
      <c r="O42" s="12">
        <v>480</v>
      </c>
    </row>
    <row r="43" spans="1:15" ht="16" x14ac:dyDescent="0.2">
      <c r="A43" s="18" t="s">
        <v>63</v>
      </c>
      <c r="B43" s="11">
        <v>590</v>
      </c>
      <c r="C43" s="3"/>
      <c r="D43" s="12">
        <v>480</v>
      </c>
      <c r="E43" s="12">
        <v>480</v>
      </c>
      <c r="F43" s="13">
        <v>590</v>
      </c>
      <c r="G43" s="13">
        <v>590</v>
      </c>
      <c r="H43" s="13">
        <v>590</v>
      </c>
      <c r="I43" s="13">
        <v>590</v>
      </c>
      <c r="J43" s="13">
        <v>590</v>
      </c>
      <c r="K43" s="13">
        <v>590</v>
      </c>
      <c r="L43" s="15">
        <v>720</v>
      </c>
      <c r="M43" s="12">
        <v>480</v>
      </c>
      <c r="N43" s="12">
        <v>480</v>
      </c>
      <c r="O43" s="12">
        <v>480</v>
      </c>
    </row>
    <row r="44" spans="1:15" ht="16" x14ac:dyDescent="0.2">
      <c r="A44" s="18" t="s">
        <v>64</v>
      </c>
      <c r="B44" s="11">
        <v>590</v>
      </c>
      <c r="C44" s="3"/>
      <c r="D44" s="12">
        <v>480</v>
      </c>
      <c r="E44" s="15">
        <v>720</v>
      </c>
      <c r="F44" s="15">
        <v>720</v>
      </c>
      <c r="G44" s="38">
        <v>590</v>
      </c>
      <c r="H44" s="12">
        <v>480</v>
      </c>
      <c r="I44" s="12">
        <v>480</v>
      </c>
      <c r="J44" s="12">
        <v>480</v>
      </c>
      <c r="K44" s="12">
        <v>480</v>
      </c>
      <c r="L44" s="12">
        <v>480</v>
      </c>
      <c r="M44" s="12">
        <v>480</v>
      </c>
      <c r="N44" s="12">
        <v>480</v>
      </c>
      <c r="O44" s="12">
        <v>480</v>
      </c>
    </row>
    <row r="45" spans="1:15" ht="16" x14ac:dyDescent="0.2">
      <c r="A45" s="10" t="s">
        <v>65</v>
      </c>
      <c r="B45" s="11">
        <v>480</v>
      </c>
      <c r="C45" s="3"/>
      <c r="D45" s="12">
        <v>390</v>
      </c>
      <c r="E45" s="13">
        <v>480</v>
      </c>
      <c r="F45" s="13">
        <v>480</v>
      </c>
      <c r="G45" s="15">
        <v>590</v>
      </c>
      <c r="H45" s="13">
        <v>480</v>
      </c>
      <c r="I45" s="15">
        <v>590</v>
      </c>
      <c r="J45" s="13">
        <v>480</v>
      </c>
      <c r="K45" s="15">
        <v>590</v>
      </c>
      <c r="L45" s="15">
        <v>590</v>
      </c>
      <c r="M45" s="13">
        <v>480</v>
      </c>
      <c r="N45" s="13">
        <v>480</v>
      </c>
      <c r="O45" s="13">
        <v>480</v>
      </c>
    </row>
    <row r="46" spans="1:15" ht="16" x14ac:dyDescent="0.2">
      <c r="A46" s="18" t="s">
        <v>576</v>
      </c>
      <c r="B46" s="11">
        <v>480</v>
      </c>
      <c r="C46" s="3"/>
      <c r="D46" s="39">
        <v>480</v>
      </c>
      <c r="E46" s="15">
        <v>590</v>
      </c>
      <c r="F46" s="15">
        <v>590</v>
      </c>
      <c r="G46" s="15">
        <v>590</v>
      </c>
      <c r="H46" s="13">
        <v>390</v>
      </c>
      <c r="I46" s="13">
        <v>390</v>
      </c>
      <c r="J46" s="13">
        <v>390</v>
      </c>
      <c r="K46" s="13">
        <v>390</v>
      </c>
      <c r="L46" s="12">
        <v>320</v>
      </c>
      <c r="M46" s="12">
        <v>320</v>
      </c>
      <c r="N46" s="12">
        <v>320</v>
      </c>
      <c r="O46" s="12">
        <v>320</v>
      </c>
    </row>
    <row r="47" spans="1:15" ht="16" x14ac:dyDescent="0.2">
      <c r="A47" s="18" t="s">
        <v>577</v>
      </c>
      <c r="B47" s="11">
        <v>480</v>
      </c>
      <c r="C47" s="3"/>
      <c r="D47" s="12">
        <v>260</v>
      </c>
      <c r="E47" s="13">
        <v>390</v>
      </c>
      <c r="F47" s="40">
        <v>320</v>
      </c>
      <c r="G47" s="13">
        <v>390</v>
      </c>
      <c r="H47" s="13">
        <v>390</v>
      </c>
      <c r="I47" s="41">
        <v>480</v>
      </c>
      <c r="J47" s="15">
        <v>880</v>
      </c>
      <c r="K47" s="15">
        <v>880</v>
      </c>
      <c r="L47" s="41">
        <v>480</v>
      </c>
      <c r="M47" s="13">
        <v>390</v>
      </c>
      <c r="N47" s="40">
        <v>320</v>
      </c>
      <c r="O47" s="40">
        <v>320</v>
      </c>
    </row>
    <row r="48" spans="1:15" ht="16" x14ac:dyDescent="0.2">
      <c r="A48" s="10" t="s">
        <v>66</v>
      </c>
      <c r="B48" s="11">
        <v>480</v>
      </c>
      <c r="C48" s="3"/>
      <c r="D48" s="12">
        <v>390</v>
      </c>
      <c r="E48" s="13">
        <v>480</v>
      </c>
      <c r="F48" s="13">
        <v>480</v>
      </c>
      <c r="G48" s="15">
        <v>590</v>
      </c>
      <c r="H48" s="13">
        <v>480</v>
      </c>
      <c r="I48" s="15">
        <v>590</v>
      </c>
      <c r="J48" s="13">
        <v>480</v>
      </c>
      <c r="K48" s="15">
        <v>590</v>
      </c>
      <c r="L48" s="15">
        <v>590</v>
      </c>
      <c r="M48" s="13">
        <v>480</v>
      </c>
      <c r="N48" s="13">
        <v>480</v>
      </c>
      <c r="O48" s="13">
        <v>480</v>
      </c>
    </row>
    <row r="49" spans="1:15" ht="16" x14ac:dyDescent="0.2">
      <c r="A49" s="10" t="s">
        <v>67</v>
      </c>
      <c r="B49" s="11">
        <v>480</v>
      </c>
      <c r="C49" s="3"/>
      <c r="D49" s="22">
        <v>320</v>
      </c>
      <c r="E49" s="22">
        <v>320</v>
      </c>
      <c r="F49" s="22">
        <v>320</v>
      </c>
      <c r="G49" s="13">
        <v>480</v>
      </c>
      <c r="H49" s="42">
        <v>720</v>
      </c>
      <c r="I49" s="43">
        <v>590</v>
      </c>
      <c r="J49" s="42">
        <v>720</v>
      </c>
      <c r="K49" s="13">
        <v>480</v>
      </c>
      <c r="L49" s="15">
        <v>1000</v>
      </c>
      <c r="M49" s="42">
        <v>720</v>
      </c>
      <c r="N49" s="12">
        <v>260</v>
      </c>
      <c r="O49" s="12">
        <v>260</v>
      </c>
    </row>
    <row r="50" spans="1:15" ht="16" x14ac:dyDescent="0.2">
      <c r="A50" s="10" t="s">
        <v>68</v>
      </c>
      <c r="B50" s="11">
        <v>480</v>
      </c>
      <c r="C50" s="3"/>
      <c r="D50" s="44">
        <v>590</v>
      </c>
      <c r="E50" s="15">
        <v>720</v>
      </c>
      <c r="F50" s="44">
        <v>590</v>
      </c>
      <c r="G50" s="45">
        <v>480</v>
      </c>
      <c r="H50" s="45">
        <v>480</v>
      </c>
      <c r="I50" s="45">
        <v>480</v>
      </c>
      <c r="J50" s="46">
        <v>320</v>
      </c>
      <c r="K50" s="46">
        <v>320</v>
      </c>
      <c r="L50" s="12">
        <v>260</v>
      </c>
      <c r="M50" s="46">
        <v>320</v>
      </c>
      <c r="N50" s="47">
        <v>390</v>
      </c>
      <c r="O50" s="47">
        <v>390</v>
      </c>
    </row>
    <row r="51" spans="1:15" ht="16" x14ac:dyDescent="0.2">
      <c r="A51" s="10" t="s">
        <v>69</v>
      </c>
      <c r="B51" s="11">
        <v>480</v>
      </c>
      <c r="C51" s="3"/>
      <c r="D51" s="44">
        <v>590</v>
      </c>
      <c r="E51" s="15">
        <v>720</v>
      </c>
      <c r="F51" s="44">
        <v>590</v>
      </c>
      <c r="G51" s="45">
        <v>480</v>
      </c>
      <c r="H51" s="45">
        <v>480</v>
      </c>
      <c r="I51" s="45">
        <v>480</v>
      </c>
      <c r="J51" s="46">
        <v>320</v>
      </c>
      <c r="K51" s="46">
        <v>320</v>
      </c>
      <c r="L51" s="12">
        <v>260</v>
      </c>
      <c r="M51" s="46">
        <v>320</v>
      </c>
      <c r="N51" s="47">
        <v>390</v>
      </c>
      <c r="O51" s="47">
        <v>390</v>
      </c>
    </row>
    <row r="52" spans="1:15" ht="16" x14ac:dyDescent="0.2">
      <c r="A52" s="18" t="s">
        <v>578</v>
      </c>
      <c r="B52" s="11">
        <v>480</v>
      </c>
      <c r="C52" s="3"/>
      <c r="D52" s="48">
        <v>390</v>
      </c>
      <c r="E52" s="49">
        <v>590</v>
      </c>
      <c r="F52" s="15">
        <v>720</v>
      </c>
      <c r="G52" s="15">
        <v>720</v>
      </c>
      <c r="H52" s="48">
        <v>390</v>
      </c>
      <c r="I52" s="13">
        <v>320</v>
      </c>
      <c r="J52" s="13">
        <v>320</v>
      </c>
      <c r="K52" s="13">
        <v>320</v>
      </c>
      <c r="L52" s="13">
        <v>320</v>
      </c>
      <c r="M52" s="13">
        <v>320</v>
      </c>
      <c r="N52" s="12">
        <v>260</v>
      </c>
      <c r="O52" s="12">
        <v>260</v>
      </c>
    </row>
    <row r="53" spans="1:15" ht="16" x14ac:dyDescent="0.2">
      <c r="A53" s="18" t="s">
        <v>70</v>
      </c>
      <c r="B53" s="11">
        <v>480</v>
      </c>
      <c r="C53" s="3"/>
      <c r="D53" s="50">
        <v>390</v>
      </c>
      <c r="E53" s="15">
        <v>590</v>
      </c>
      <c r="F53" s="51">
        <v>480</v>
      </c>
      <c r="G53" s="51">
        <v>480</v>
      </c>
      <c r="H53" s="51">
        <v>480</v>
      </c>
      <c r="I53" s="51">
        <v>480</v>
      </c>
      <c r="J53" s="50">
        <v>390</v>
      </c>
      <c r="K53" s="51">
        <v>480</v>
      </c>
      <c r="L53" s="51">
        <v>480</v>
      </c>
      <c r="M53" s="51">
        <v>480</v>
      </c>
      <c r="N53" s="15">
        <v>590</v>
      </c>
      <c r="O53" s="15">
        <v>590</v>
      </c>
    </row>
    <row r="54" spans="1:15" ht="16" x14ac:dyDescent="0.2">
      <c r="A54" s="18" t="s">
        <v>72</v>
      </c>
      <c r="B54" s="11">
        <v>480</v>
      </c>
      <c r="C54" s="3"/>
      <c r="D54" s="12">
        <v>390</v>
      </c>
      <c r="E54" s="15">
        <v>590</v>
      </c>
      <c r="F54" s="24">
        <v>480</v>
      </c>
      <c r="G54" s="24">
        <v>480</v>
      </c>
      <c r="H54" s="24">
        <v>480</v>
      </c>
      <c r="I54" s="24">
        <v>480</v>
      </c>
      <c r="J54" s="12">
        <v>390</v>
      </c>
      <c r="K54" s="24">
        <v>480</v>
      </c>
      <c r="L54" s="24">
        <v>480</v>
      </c>
      <c r="M54" s="24">
        <v>480</v>
      </c>
      <c r="N54" s="15">
        <v>590</v>
      </c>
      <c r="O54" s="15">
        <v>590</v>
      </c>
    </row>
    <row r="55" spans="1:15" ht="16" x14ac:dyDescent="0.2">
      <c r="A55" s="18" t="s">
        <v>73</v>
      </c>
      <c r="B55" s="11">
        <v>480</v>
      </c>
      <c r="C55" s="3"/>
      <c r="D55" s="15">
        <v>590</v>
      </c>
      <c r="E55" s="52">
        <v>480</v>
      </c>
      <c r="F55" s="52">
        <v>480</v>
      </c>
      <c r="G55" s="52">
        <v>480</v>
      </c>
      <c r="H55" s="24">
        <v>390</v>
      </c>
      <c r="I55" s="24">
        <v>390</v>
      </c>
      <c r="J55" s="12">
        <v>320</v>
      </c>
      <c r="K55" s="24">
        <v>390</v>
      </c>
      <c r="L55" s="24">
        <v>390</v>
      </c>
      <c r="M55" s="24">
        <v>390</v>
      </c>
      <c r="N55" s="12">
        <v>320</v>
      </c>
      <c r="O55" s="12">
        <v>320</v>
      </c>
    </row>
    <row r="56" spans="1:15" ht="16" x14ac:dyDescent="0.2">
      <c r="A56" s="10" t="s">
        <v>74</v>
      </c>
      <c r="B56" s="11">
        <v>390</v>
      </c>
      <c r="C56" s="3"/>
      <c r="D56" s="13">
        <v>390</v>
      </c>
      <c r="E56" s="13">
        <v>390</v>
      </c>
      <c r="F56" s="13">
        <v>390</v>
      </c>
      <c r="G56" s="13">
        <v>390</v>
      </c>
      <c r="H56" s="13">
        <v>390</v>
      </c>
      <c r="I56" s="12">
        <v>260</v>
      </c>
      <c r="J56" s="13">
        <v>390</v>
      </c>
      <c r="K56" s="53">
        <v>480</v>
      </c>
      <c r="L56" s="15">
        <v>720</v>
      </c>
      <c r="M56" s="53">
        <v>480</v>
      </c>
      <c r="N56" s="13">
        <v>390</v>
      </c>
      <c r="O56" s="13">
        <v>390</v>
      </c>
    </row>
    <row r="57" spans="1:15" ht="16" x14ac:dyDescent="0.2">
      <c r="A57" s="18" t="s">
        <v>75</v>
      </c>
      <c r="B57" s="11">
        <v>390</v>
      </c>
      <c r="C57" s="3"/>
      <c r="D57" s="13">
        <v>390</v>
      </c>
      <c r="E57" s="13">
        <v>390</v>
      </c>
      <c r="F57" s="13">
        <v>390</v>
      </c>
      <c r="G57" s="13">
        <v>390</v>
      </c>
      <c r="H57" s="13">
        <v>390</v>
      </c>
      <c r="I57" s="12">
        <v>260</v>
      </c>
      <c r="J57" s="13">
        <v>390</v>
      </c>
      <c r="K57" s="53">
        <v>480</v>
      </c>
      <c r="L57" s="15">
        <v>720</v>
      </c>
      <c r="M57" s="53">
        <v>480</v>
      </c>
      <c r="N57" s="13">
        <v>390</v>
      </c>
      <c r="O57" s="13">
        <v>390</v>
      </c>
    </row>
    <row r="58" spans="1:15" ht="16" x14ac:dyDescent="0.2">
      <c r="A58" s="18" t="s">
        <v>76</v>
      </c>
      <c r="B58" s="11">
        <v>390</v>
      </c>
      <c r="C58" s="3"/>
      <c r="D58" s="54">
        <v>390</v>
      </c>
      <c r="E58" s="15">
        <v>590</v>
      </c>
      <c r="F58" s="15">
        <v>590</v>
      </c>
      <c r="G58" s="15">
        <v>590</v>
      </c>
      <c r="H58" s="55">
        <v>260</v>
      </c>
      <c r="I58" s="56">
        <v>320</v>
      </c>
      <c r="J58" s="56">
        <v>320</v>
      </c>
      <c r="K58" s="55">
        <v>260</v>
      </c>
      <c r="L58" s="55">
        <v>260</v>
      </c>
      <c r="M58" s="12">
        <v>170</v>
      </c>
      <c r="N58" s="55">
        <v>260</v>
      </c>
      <c r="O58" s="55">
        <v>260</v>
      </c>
    </row>
    <row r="59" spans="1:15" ht="16" x14ac:dyDescent="0.2">
      <c r="A59" s="18" t="s">
        <v>77</v>
      </c>
      <c r="B59" s="11">
        <v>390</v>
      </c>
      <c r="C59" s="3"/>
      <c r="D59" s="13">
        <v>320</v>
      </c>
      <c r="E59" s="15">
        <v>480</v>
      </c>
      <c r="F59" s="15">
        <v>480</v>
      </c>
      <c r="G59" s="15">
        <v>480</v>
      </c>
      <c r="H59" s="13">
        <v>320</v>
      </c>
      <c r="I59" s="12">
        <v>260</v>
      </c>
      <c r="J59" s="13">
        <v>320</v>
      </c>
      <c r="K59" s="13">
        <v>320</v>
      </c>
      <c r="L59" s="13">
        <v>320</v>
      </c>
      <c r="M59" s="12">
        <v>260</v>
      </c>
      <c r="N59" s="13">
        <v>320</v>
      </c>
      <c r="O59" s="13">
        <v>320</v>
      </c>
    </row>
    <row r="60" spans="1:15" ht="16" x14ac:dyDescent="0.2">
      <c r="A60" s="18" t="s">
        <v>78</v>
      </c>
      <c r="B60" s="11">
        <v>390</v>
      </c>
      <c r="C60" s="3"/>
      <c r="D60" s="12">
        <v>260</v>
      </c>
      <c r="E60" s="15">
        <v>390</v>
      </c>
      <c r="F60" s="15">
        <v>390</v>
      </c>
      <c r="G60" s="15">
        <v>390</v>
      </c>
      <c r="H60" s="15">
        <v>390</v>
      </c>
      <c r="I60" s="15">
        <v>390</v>
      </c>
      <c r="J60" s="15">
        <v>390</v>
      </c>
      <c r="K60" s="40">
        <v>320</v>
      </c>
      <c r="L60" s="15">
        <v>390</v>
      </c>
      <c r="M60" s="40">
        <v>320</v>
      </c>
      <c r="N60" s="40">
        <v>320</v>
      </c>
      <c r="O60" s="40">
        <v>320</v>
      </c>
    </row>
    <row r="61" spans="1:15" ht="16" x14ac:dyDescent="0.2">
      <c r="A61" s="18" t="s">
        <v>79</v>
      </c>
      <c r="B61" s="11">
        <v>390</v>
      </c>
      <c r="C61" s="3"/>
      <c r="D61" s="13">
        <v>390</v>
      </c>
      <c r="E61" s="13">
        <v>390</v>
      </c>
      <c r="F61" s="13">
        <v>390</v>
      </c>
      <c r="G61" s="13">
        <v>390</v>
      </c>
      <c r="H61" s="13">
        <v>390</v>
      </c>
      <c r="I61" s="12">
        <v>260</v>
      </c>
      <c r="J61" s="13">
        <v>390</v>
      </c>
      <c r="K61" s="53">
        <v>480</v>
      </c>
      <c r="L61" s="15">
        <v>720</v>
      </c>
      <c r="M61" s="53">
        <v>480</v>
      </c>
      <c r="N61" s="13">
        <v>390</v>
      </c>
      <c r="O61" s="13">
        <v>390</v>
      </c>
    </row>
    <row r="62" spans="1:15" ht="16" x14ac:dyDescent="0.2">
      <c r="A62" s="10" t="s">
        <v>81</v>
      </c>
      <c r="B62" s="11">
        <v>390</v>
      </c>
      <c r="C62" s="3"/>
      <c r="D62" s="15">
        <v>480</v>
      </c>
      <c r="E62" s="15">
        <v>480</v>
      </c>
      <c r="F62" s="15">
        <v>480</v>
      </c>
      <c r="G62" s="13">
        <v>390</v>
      </c>
      <c r="H62" s="13">
        <v>390</v>
      </c>
      <c r="I62" s="12">
        <v>320</v>
      </c>
      <c r="J62" s="12">
        <v>320</v>
      </c>
      <c r="K62" s="13">
        <v>390</v>
      </c>
      <c r="L62" s="13">
        <v>390</v>
      </c>
      <c r="M62" s="13">
        <v>390</v>
      </c>
      <c r="N62" s="12">
        <v>320</v>
      </c>
      <c r="O62" s="12">
        <v>320</v>
      </c>
    </row>
    <row r="63" spans="1:15" ht="16" x14ac:dyDescent="0.2">
      <c r="A63" s="10" t="s">
        <v>82</v>
      </c>
      <c r="B63" s="11">
        <v>390</v>
      </c>
      <c r="C63" s="3"/>
      <c r="D63" s="57">
        <v>390</v>
      </c>
      <c r="E63" s="57">
        <v>390</v>
      </c>
      <c r="F63" s="15">
        <v>480</v>
      </c>
      <c r="G63" s="57">
        <v>390</v>
      </c>
      <c r="H63" s="57">
        <v>390</v>
      </c>
      <c r="I63" s="13">
        <v>320</v>
      </c>
      <c r="J63" s="13">
        <v>320</v>
      </c>
      <c r="K63" s="13">
        <v>320</v>
      </c>
      <c r="L63" s="12">
        <v>260</v>
      </c>
      <c r="M63" s="13">
        <v>320</v>
      </c>
      <c r="N63" s="12">
        <v>260</v>
      </c>
      <c r="O63" s="12">
        <v>260</v>
      </c>
    </row>
    <row r="64" spans="1:15" ht="16" x14ac:dyDescent="0.2">
      <c r="A64" s="10" t="s">
        <v>85</v>
      </c>
      <c r="B64" s="11">
        <v>390</v>
      </c>
      <c r="C64" s="3"/>
      <c r="D64" s="40">
        <v>320</v>
      </c>
      <c r="E64" s="15">
        <v>480</v>
      </c>
      <c r="F64" s="13">
        <v>390</v>
      </c>
      <c r="G64" s="13">
        <v>390</v>
      </c>
      <c r="H64" s="13">
        <v>390</v>
      </c>
      <c r="I64" s="13">
        <v>390</v>
      </c>
      <c r="J64" s="13">
        <v>390</v>
      </c>
      <c r="K64" s="13">
        <v>390</v>
      </c>
      <c r="L64" s="40">
        <v>320</v>
      </c>
      <c r="M64" s="40">
        <v>320</v>
      </c>
      <c r="N64" s="12">
        <v>260</v>
      </c>
      <c r="O64" s="12">
        <v>260</v>
      </c>
    </row>
    <row r="65" spans="1:15" ht="16" x14ac:dyDescent="0.2">
      <c r="A65" s="10" t="s">
        <v>86</v>
      </c>
      <c r="B65" s="11">
        <v>390</v>
      </c>
      <c r="C65" s="3"/>
      <c r="D65" s="40">
        <v>320</v>
      </c>
      <c r="E65" s="13">
        <v>390</v>
      </c>
      <c r="F65" s="15">
        <v>480</v>
      </c>
      <c r="G65" s="15">
        <v>480</v>
      </c>
      <c r="H65" s="15">
        <v>480</v>
      </c>
      <c r="I65" s="13">
        <v>390</v>
      </c>
      <c r="J65" s="40">
        <v>320</v>
      </c>
      <c r="K65" s="13">
        <v>390</v>
      </c>
      <c r="L65" s="15">
        <v>480</v>
      </c>
      <c r="M65" s="40">
        <v>320</v>
      </c>
      <c r="N65" s="12">
        <v>260</v>
      </c>
      <c r="O65" s="12">
        <v>260</v>
      </c>
    </row>
    <row r="66" spans="1:15" ht="16" x14ac:dyDescent="0.2">
      <c r="A66" s="18" t="s">
        <v>87</v>
      </c>
      <c r="B66" s="11">
        <v>390</v>
      </c>
      <c r="C66" s="3"/>
      <c r="D66" s="12">
        <v>260</v>
      </c>
      <c r="E66" s="48">
        <v>390</v>
      </c>
      <c r="F66" s="48">
        <v>390</v>
      </c>
      <c r="G66" s="15">
        <v>720</v>
      </c>
      <c r="H66" s="48">
        <v>390</v>
      </c>
      <c r="I66" s="13">
        <v>320</v>
      </c>
      <c r="J66" s="12">
        <v>260</v>
      </c>
      <c r="K66" s="13">
        <v>320</v>
      </c>
      <c r="L66" s="13">
        <v>320</v>
      </c>
      <c r="M66" s="48">
        <v>390</v>
      </c>
      <c r="N66" s="13">
        <v>320</v>
      </c>
      <c r="O66" s="13">
        <v>320</v>
      </c>
    </row>
    <row r="67" spans="1:15" ht="16" x14ac:dyDescent="0.2">
      <c r="A67" s="18" t="s">
        <v>579</v>
      </c>
      <c r="B67" s="11">
        <v>390</v>
      </c>
      <c r="C67" s="3"/>
      <c r="D67" s="58">
        <v>480</v>
      </c>
      <c r="E67" s="15">
        <v>590</v>
      </c>
      <c r="F67" s="15">
        <v>590</v>
      </c>
      <c r="G67" s="15">
        <v>590</v>
      </c>
      <c r="H67" s="59">
        <v>390</v>
      </c>
      <c r="I67" s="13">
        <v>320</v>
      </c>
      <c r="J67" s="13">
        <v>320</v>
      </c>
      <c r="K67" s="13">
        <v>320</v>
      </c>
      <c r="L67" s="12">
        <v>260</v>
      </c>
      <c r="M67" s="13">
        <v>320</v>
      </c>
      <c r="N67" s="13">
        <v>320</v>
      </c>
      <c r="O67" s="13">
        <v>320</v>
      </c>
    </row>
    <row r="68" spans="1:15" ht="16" x14ac:dyDescent="0.2">
      <c r="A68" s="10" t="s">
        <v>89</v>
      </c>
      <c r="B68" s="11">
        <v>390</v>
      </c>
      <c r="C68" s="3"/>
      <c r="D68" s="15">
        <v>480</v>
      </c>
      <c r="E68" s="15">
        <v>480</v>
      </c>
      <c r="F68" s="57">
        <v>390</v>
      </c>
      <c r="G68" s="57">
        <v>390</v>
      </c>
      <c r="H68" s="57">
        <v>390</v>
      </c>
      <c r="I68" s="13">
        <v>320</v>
      </c>
      <c r="J68" s="13">
        <v>320</v>
      </c>
      <c r="K68" s="13">
        <v>320</v>
      </c>
      <c r="L68" s="13">
        <v>320</v>
      </c>
      <c r="M68" s="13">
        <v>320</v>
      </c>
      <c r="N68" s="12">
        <v>260</v>
      </c>
      <c r="O68" s="12">
        <v>260</v>
      </c>
    </row>
    <row r="69" spans="1:15" ht="16" x14ac:dyDescent="0.2">
      <c r="A69" s="10" t="s">
        <v>580</v>
      </c>
      <c r="B69" s="11">
        <v>320</v>
      </c>
      <c r="C69" s="3"/>
      <c r="D69" s="12">
        <v>260</v>
      </c>
      <c r="E69" s="12">
        <v>260</v>
      </c>
      <c r="F69" s="42">
        <v>320</v>
      </c>
      <c r="G69" s="42">
        <v>320</v>
      </c>
      <c r="H69" s="12">
        <v>260</v>
      </c>
      <c r="I69" s="12">
        <v>260</v>
      </c>
      <c r="J69" s="12">
        <v>260</v>
      </c>
      <c r="K69" s="42">
        <v>320</v>
      </c>
      <c r="L69" s="15">
        <v>390</v>
      </c>
      <c r="M69" s="15">
        <v>390</v>
      </c>
      <c r="N69" s="12">
        <v>260</v>
      </c>
      <c r="O69" s="12">
        <v>260</v>
      </c>
    </row>
    <row r="70" spans="1:15" ht="16" x14ac:dyDescent="0.2">
      <c r="A70" s="10" t="s">
        <v>92</v>
      </c>
      <c r="B70" s="11">
        <v>320</v>
      </c>
      <c r="C70" s="3"/>
      <c r="D70" s="13">
        <v>320</v>
      </c>
      <c r="E70" s="15">
        <v>390</v>
      </c>
      <c r="F70" s="36">
        <v>260</v>
      </c>
      <c r="G70" s="15">
        <v>390</v>
      </c>
      <c r="H70" s="13">
        <v>320</v>
      </c>
      <c r="I70" s="36">
        <v>260</v>
      </c>
      <c r="J70" s="12">
        <v>210</v>
      </c>
      <c r="K70" s="13">
        <v>320</v>
      </c>
      <c r="L70" s="13">
        <v>320</v>
      </c>
      <c r="M70" s="13">
        <v>320</v>
      </c>
      <c r="N70" s="12">
        <v>210</v>
      </c>
      <c r="O70" s="12">
        <v>210</v>
      </c>
    </row>
    <row r="71" spans="1:15" ht="16" x14ac:dyDescent="0.2">
      <c r="A71" s="10" t="s">
        <v>93</v>
      </c>
      <c r="B71" s="11">
        <v>320</v>
      </c>
      <c r="C71" s="3"/>
      <c r="D71" s="36">
        <v>260</v>
      </c>
      <c r="E71" s="15">
        <v>390</v>
      </c>
      <c r="F71" s="15">
        <v>390</v>
      </c>
      <c r="G71" s="13">
        <v>320</v>
      </c>
      <c r="H71" s="13">
        <v>320</v>
      </c>
      <c r="I71" s="13">
        <v>320</v>
      </c>
      <c r="J71" s="36">
        <v>260</v>
      </c>
      <c r="K71" s="15">
        <v>390</v>
      </c>
      <c r="L71" s="13">
        <v>320</v>
      </c>
      <c r="M71" s="13">
        <v>320</v>
      </c>
      <c r="N71" s="12">
        <v>210</v>
      </c>
      <c r="O71" s="12">
        <v>210</v>
      </c>
    </row>
    <row r="72" spans="1:15" ht="16" x14ac:dyDescent="0.2">
      <c r="A72" s="10" t="s">
        <v>581</v>
      </c>
      <c r="B72" s="11">
        <v>320</v>
      </c>
      <c r="C72" s="3"/>
      <c r="D72" s="12">
        <v>210</v>
      </c>
      <c r="E72" s="12">
        <v>210</v>
      </c>
      <c r="F72" s="12">
        <v>210</v>
      </c>
      <c r="G72" s="13">
        <v>320</v>
      </c>
      <c r="H72" s="13">
        <v>320</v>
      </c>
      <c r="I72" s="36">
        <v>260</v>
      </c>
      <c r="J72" s="13">
        <v>320</v>
      </c>
      <c r="K72" s="15">
        <v>390</v>
      </c>
      <c r="L72" s="15">
        <v>390</v>
      </c>
      <c r="M72" s="15">
        <v>390</v>
      </c>
      <c r="N72" s="13">
        <v>320</v>
      </c>
      <c r="O72" s="13">
        <v>320</v>
      </c>
    </row>
    <row r="73" spans="1:15" ht="16" x14ac:dyDescent="0.2">
      <c r="A73" s="10" t="s">
        <v>94</v>
      </c>
      <c r="B73" s="11">
        <v>320</v>
      </c>
      <c r="C73" s="3"/>
      <c r="D73" s="13">
        <v>320</v>
      </c>
      <c r="E73" s="57">
        <v>390</v>
      </c>
      <c r="F73" s="15">
        <v>480</v>
      </c>
      <c r="G73" s="57">
        <v>390</v>
      </c>
      <c r="H73" s="12">
        <v>260</v>
      </c>
      <c r="I73" s="13">
        <v>320</v>
      </c>
      <c r="J73" s="12">
        <v>260</v>
      </c>
      <c r="K73" s="13">
        <v>320</v>
      </c>
      <c r="L73" s="13">
        <v>320</v>
      </c>
      <c r="M73" s="13">
        <v>320</v>
      </c>
      <c r="N73" s="13">
        <v>320</v>
      </c>
      <c r="O73" s="13">
        <v>320</v>
      </c>
    </row>
    <row r="74" spans="1:15" ht="16" x14ac:dyDescent="0.2">
      <c r="A74" s="10" t="s">
        <v>96</v>
      </c>
      <c r="B74" s="11">
        <v>320</v>
      </c>
      <c r="C74" s="3"/>
      <c r="D74" s="12">
        <v>260</v>
      </c>
      <c r="E74" s="15">
        <v>390</v>
      </c>
      <c r="F74" s="24">
        <v>320</v>
      </c>
      <c r="G74" s="24">
        <v>320</v>
      </c>
      <c r="H74" s="24">
        <v>320</v>
      </c>
      <c r="I74" s="24">
        <v>320</v>
      </c>
      <c r="J74" s="12">
        <v>260</v>
      </c>
      <c r="K74" s="24">
        <v>320</v>
      </c>
      <c r="L74" s="24">
        <v>320</v>
      </c>
      <c r="M74" s="15">
        <v>390</v>
      </c>
      <c r="N74" s="15">
        <v>390</v>
      </c>
      <c r="O74" s="15">
        <v>390</v>
      </c>
    </row>
    <row r="75" spans="1:15" ht="16" x14ac:dyDescent="0.2">
      <c r="A75" s="10" t="s">
        <v>582</v>
      </c>
      <c r="B75" s="11">
        <v>260</v>
      </c>
      <c r="C75" s="3"/>
      <c r="D75" s="60">
        <v>320</v>
      </c>
      <c r="E75" s="61">
        <v>260</v>
      </c>
      <c r="F75" s="34">
        <v>210</v>
      </c>
      <c r="G75" s="61">
        <v>260</v>
      </c>
      <c r="H75" s="61">
        <v>260</v>
      </c>
      <c r="I75" s="34">
        <v>210</v>
      </c>
      <c r="J75" s="12">
        <v>170</v>
      </c>
      <c r="K75" s="15">
        <v>590</v>
      </c>
      <c r="L75" s="60">
        <v>320</v>
      </c>
      <c r="M75" s="34">
        <v>210</v>
      </c>
      <c r="N75" s="12">
        <v>170</v>
      </c>
      <c r="O75" s="12">
        <v>170</v>
      </c>
    </row>
    <row r="76" spans="1:15" ht="16" x14ac:dyDescent="0.2">
      <c r="A76" s="10" t="s">
        <v>98</v>
      </c>
      <c r="B76" s="11">
        <v>260</v>
      </c>
      <c r="C76" s="3"/>
      <c r="D76" s="15">
        <v>320</v>
      </c>
      <c r="E76" s="15">
        <v>320</v>
      </c>
      <c r="F76" s="62">
        <v>210</v>
      </c>
      <c r="G76" s="63">
        <v>260</v>
      </c>
      <c r="H76" s="15">
        <v>320</v>
      </c>
      <c r="I76" s="63">
        <v>260</v>
      </c>
      <c r="J76" s="31">
        <v>170</v>
      </c>
      <c r="K76" s="31">
        <v>170</v>
      </c>
      <c r="L76" s="31">
        <v>170</v>
      </c>
      <c r="M76" s="12">
        <v>140</v>
      </c>
      <c r="N76" s="12">
        <v>140</v>
      </c>
      <c r="O76" s="12">
        <v>140</v>
      </c>
    </row>
    <row r="77" spans="1:15" ht="16" x14ac:dyDescent="0.2">
      <c r="A77" s="10" t="s">
        <v>101</v>
      </c>
      <c r="B77" s="11">
        <v>260</v>
      </c>
      <c r="C77" s="3"/>
      <c r="D77" s="12">
        <v>170</v>
      </c>
      <c r="E77" s="64">
        <v>260</v>
      </c>
      <c r="F77" s="13">
        <v>210</v>
      </c>
      <c r="G77" s="64">
        <v>260</v>
      </c>
      <c r="H77" s="13">
        <v>210</v>
      </c>
      <c r="I77" s="13">
        <v>210</v>
      </c>
      <c r="J77" s="12">
        <v>170</v>
      </c>
      <c r="K77" s="64">
        <v>260</v>
      </c>
      <c r="L77" s="15">
        <v>390</v>
      </c>
      <c r="M77" s="64">
        <v>260</v>
      </c>
      <c r="N77" s="12">
        <v>170</v>
      </c>
      <c r="O77" s="12">
        <v>170</v>
      </c>
    </row>
    <row r="78" spans="1:15" ht="16" x14ac:dyDescent="0.2">
      <c r="A78" s="18" t="s">
        <v>102</v>
      </c>
      <c r="B78" s="11">
        <v>260</v>
      </c>
      <c r="C78" s="3"/>
      <c r="D78" s="60">
        <v>320</v>
      </c>
      <c r="E78" s="61">
        <v>260</v>
      </c>
      <c r="F78" s="34">
        <v>210</v>
      </c>
      <c r="G78" s="61">
        <v>260</v>
      </c>
      <c r="H78" s="61">
        <v>260</v>
      </c>
      <c r="I78" s="34">
        <v>210</v>
      </c>
      <c r="J78" s="12">
        <v>170</v>
      </c>
      <c r="K78" s="15">
        <v>590</v>
      </c>
      <c r="L78" s="60">
        <v>320</v>
      </c>
      <c r="M78" s="34">
        <v>210</v>
      </c>
      <c r="N78" s="12">
        <v>170</v>
      </c>
      <c r="O78" s="12">
        <v>170</v>
      </c>
    </row>
    <row r="79" spans="1:15" ht="16" x14ac:dyDescent="0.2">
      <c r="A79" s="18" t="s">
        <v>103</v>
      </c>
      <c r="B79" s="11">
        <v>260</v>
      </c>
      <c r="C79" s="3"/>
      <c r="D79" s="13">
        <v>210</v>
      </c>
      <c r="E79" s="15">
        <v>390</v>
      </c>
      <c r="F79" s="65">
        <v>320</v>
      </c>
      <c r="G79" s="15">
        <v>390</v>
      </c>
      <c r="H79" s="64">
        <v>260</v>
      </c>
      <c r="I79" s="13">
        <v>210</v>
      </c>
      <c r="J79" s="13">
        <v>210</v>
      </c>
      <c r="K79" s="12">
        <v>170</v>
      </c>
      <c r="L79" s="13">
        <v>210</v>
      </c>
      <c r="M79" s="12">
        <v>170</v>
      </c>
      <c r="N79" s="13">
        <v>210</v>
      </c>
      <c r="O79" s="13">
        <v>210</v>
      </c>
    </row>
    <row r="80" spans="1:15" ht="16" x14ac:dyDescent="0.2">
      <c r="A80" s="10" t="s">
        <v>104</v>
      </c>
      <c r="B80" s="11">
        <v>260</v>
      </c>
      <c r="C80" s="3"/>
      <c r="D80" s="13">
        <v>260</v>
      </c>
      <c r="E80" s="15">
        <v>390</v>
      </c>
      <c r="F80" s="42">
        <v>320</v>
      </c>
      <c r="G80" s="15">
        <v>390</v>
      </c>
      <c r="H80" s="42">
        <v>320</v>
      </c>
      <c r="I80" s="42">
        <v>320</v>
      </c>
      <c r="J80" s="13">
        <v>260</v>
      </c>
      <c r="K80" s="13">
        <v>260</v>
      </c>
      <c r="L80" s="66">
        <v>210</v>
      </c>
      <c r="M80" s="12">
        <v>170</v>
      </c>
      <c r="N80" s="66">
        <v>210</v>
      </c>
      <c r="O80" s="66">
        <v>210</v>
      </c>
    </row>
    <row r="81" spans="1:15" ht="16" x14ac:dyDescent="0.2">
      <c r="A81" s="10" t="s">
        <v>105</v>
      </c>
      <c r="B81" s="11">
        <v>260</v>
      </c>
      <c r="C81" s="3"/>
      <c r="D81" s="67">
        <v>320</v>
      </c>
      <c r="E81" s="68">
        <v>210</v>
      </c>
      <c r="F81" s="69">
        <v>260</v>
      </c>
      <c r="G81" s="69">
        <v>260</v>
      </c>
      <c r="H81" s="68">
        <v>210</v>
      </c>
      <c r="I81" s="12">
        <v>140</v>
      </c>
      <c r="J81" s="12">
        <v>140</v>
      </c>
      <c r="K81" s="69">
        <v>260</v>
      </c>
      <c r="L81" s="67">
        <v>320</v>
      </c>
      <c r="M81" s="15">
        <v>390</v>
      </c>
      <c r="N81" s="70">
        <v>170</v>
      </c>
      <c r="O81" s="70">
        <v>170</v>
      </c>
    </row>
    <row r="82" spans="1:15" ht="16" x14ac:dyDescent="0.2">
      <c r="A82" s="10" t="s">
        <v>107</v>
      </c>
      <c r="B82" s="11">
        <v>260</v>
      </c>
      <c r="C82" s="3"/>
      <c r="D82" s="15">
        <v>320</v>
      </c>
      <c r="E82" s="15">
        <v>320</v>
      </c>
      <c r="F82" s="15">
        <v>320</v>
      </c>
      <c r="G82" s="15">
        <v>320</v>
      </c>
      <c r="H82" s="71">
        <v>260</v>
      </c>
      <c r="I82" s="71">
        <v>260</v>
      </c>
      <c r="J82" s="12">
        <v>140</v>
      </c>
      <c r="K82" s="68">
        <v>210</v>
      </c>
      <c r="L82" s="68">
        <v>210</v>
      </c>
      <c r="M82" s="68">
        <v>210</v>
      </c>
      <c r="N82" s="70">
        <v>170</v>
      </c>
      <c r="O82" s="70">
        <v>170</v>
      </c>
    </row>
    <row r="83" spans="1:15" ht="16" x14ac:dyDescent="0.2">
      <c r="A83" s="10" t="s">
        <v>108</v>
      </c>
      <c r="B83" s="11">
        <v>260</v>
      </c>
      <c r="C83" s="3"/>
      <c r="D83" s="15">
        <v>320</v>
      </c>
      <c r="E83" s="15">
        <v>320</v>
      </c>
      <c r="F83" s="62">
        <v>210</v>
      </c>
      <c r="G83" s="63">
        <v>260</v>
      </c>
      <c r="H83" s="15">
        <v>320</v>
      </c>
      <c r="I83" s="63">
        <v>260</v>
      </c>
      <c r="J83" s="31">
        <v>170</v>
      </c>
      <c r="K83" s="31">
        <v>170</v>
      </c>
      <c r="L83" s="31">
        <v>170</v>
      </c>
      <c r="M83" s="12">
        <v>140</v>
      </c>
      <c r="N83" s="12">
        <v>140</v>
      </c>
      <c r="O83" s="12">
        <v>140</v>
      </c>
    </row>
    <row r="84" spans="1:15" ht="16" x14ac:dyDescent="0.2">
      <c r="A84" s="18" t="s">
        <v>109</v>
      </c>
      <c r="B84" s="11">
        <v>210</v>
      </c>
      <c r="C84" s="3"/>
      <c r="D84" s="71">
        <v>260</v>
      </c>
      <c r="E84" s="15">
        <v>480</v>
      </c>
      <c r="F84" s="72">
        <v>390</v>
      </c>
      <c r="G84" s="73">
        <v>320</v>
      </c>
      <c r="H84" s="20">
        <v>140</v>
      </c>
      <c r="I84" s="20">
        <v>140</v>
      </c>
      <c r="J84" s="12">
        <v>110</v>
      </c>
      <c r="K84" s="13">
        <v>170</v>
      </c>
      <c r="L84" s="13">
        <v>170</v>
      </c>
      <c r="M84" s="13">
        <v>170</v>
      </c>
      <c r="N84" s="20">
        <v>140</v>
      </c>
      <c r="O84" s="20">
        <v>140</v>
      </c>
    </row>
    <row r="85" spans="1:15" ht="16" x14ac:dyDescent="0.2">
      <c r="A85" s="18" t="s">
        <v>110</v>
      </c>
      <c r="B85" s="11">
        <v>210</v>
      </c>
      <c r="C85" s="3"/>
      <c r="D85" s="15">
        <v>210</v>
      </c>
      <c r="E85" s="12">
        <v>170</v>
      </c>
      <c r="F85" s="15">
        <v>210</v>
      </c>
      <c r="G85" s="12">
        <v>170</v>
      </c>
      <c r="H85" s="12">
        <v>170</v>
      </c>
      <c r="I85" s="12">
        <v>170</v>
      </c>
      <c r="J85" s="15">
        <v>210</v>
      </c>
      <c r="K85" s="12">
        <v>170</v>
      </c>
      <c r="L85" s="12">
        <v>170</v>
      </c>
      <c r="M85" s="15">
        <v>210</v>
      </c>
      <c r="N85" s="15">
        <v>210</v>
      </c>
      <c r="O85" s="15">
        <v>210</v>
      </c>
    </row>
    <row r="86" spans="1:15" ht="16" x14ac:dyDescent="0.2">
      <c r="A86" s="18" t="s">
        <v>111</v>
      </c>
      <c r="B86" s="11">
        <v>210</v>
      </c>
      <c r="C86" s="3"/>
      <c r="D86" s="15">
        <v>320</v>
      </c>
      <c r="E86" s="62">
        <v>210</v>
      </c>
      <c r="F86" s="63">
        <v>260</v>
      </c>
      <c r="G86" s="63">
        <v>260</v>
      </c>
      <c r="H86" s="31">
        <v>170</v>
      </c>
      <c r="I86" s="31">
        <v>170</v>
      </c>
      <c r="J86" s="12">
        <v>140</v>
      </c>
      <c r="K86" s="31">
        <v>170</v>
      </c>
      <c r="L86" s="62">
        <v>210</v>
      </c>
      <c r="M86" s="62">
        <v>210</v>
      </c>
      <c r="N86" s="31">
        <v>170</v>
      </c>
      <c r="O86" s="31">
        <v>170</v>
      </c>
    </row>
    <row r="87" spans="1:15" ht="16" x14ac:dyDescent="0.2">
      <c r="A87" s="10" t="s">
        <v>112</v>
      </c>
      <c r="B87" s="11">
        <v>210</v>
      </c>
      <c r="C87" s="3"/>
      <c r="D87" s="13">
        <v>210</v>
      </c>
      <c r="E87" s="64">
        <v>260</v>
      </c>
      <c r="F87" s="65">
        <v>320</v>
      </c>
      <c r="G87" s="15">
        <v>390</v>
      </c>
      <c r="H87" s="13">
        <v>210</v>
      </c>
      <c r="I87" s="12">
        <v>140</v>
      </c>
      <c r="J87" s="12">
        <v>140</v>
      </c>
      <c r="K87" s="13">
        <v>210</v>
      </c>
      <c r="L87" s="13">
        <v>210</v>
      </c>
      <c r="M87" s="64">
        <v>260</v>
      </c>
      <c r="N87" s="13">
        <v>210</v>
      </c>
      <c r="O87" s="13">
        <v>210</v>
      </c>
    </row>
    <row r="88" spans="1:15" ht="16" x14ac:dyDescent="0.2">
      <c r="A88" s="10" t="s">
        <v>113</v>
      </c>
      <c r="B88" s="11">
        <v>210</v>
      </c>
      <c r="C88" s="3"/>
      <c r="D88" s="13">
        <v>170</v>
      </c>
      <c r="E88" s="32">
        <v>210</v>
      </c>
      <c r="F88" s="32">
        <v>210</v>
      </c>
      <c r="G88" s="32">
        <v>210</v>
      </c>
      <c r="H88" s="13">
        <v>170</v>
      </c>
      <c r="I88" s="12">
        <v>110</v>
      </c>
      <c r="J88" s="13">
        <v>170</v>
      </c>
      <c r="K88" s="32">
        <v>210</v>
      </c>
      <c r="L88" s="15">
        <v>260</v>
      </c>
      <c r="M88" s="13">
        <v>170</v>
      </c>
      <c r="N88" s="20">
        <v>140</v>
      </c>
      <c r="O88" s="20">
        <v>140</v>
      </c>
    </row>
    <row r="89" spans="1:15" ht="16" x14ac:dyDescent="0.2">
      <c r="A89" s="10" t="s">
        <v>114</v>
      </c>
      <c r="B89" s="11">
        <v>210</v>
      </c>
      <c r="C89" s="3"/>
      <c r="D89" s="13">
        <v>170</v>
      </c>
      <c r="E89" s="32">
        <v>210</v>
      </c>
      <c r="F89" s="13">
        <v>170</v>
      </c>
      <c r="G89" s="32">
        <v>210</v>
      </c>
      <c r="H89" s="15">
        <v>260</v>
      </c>
      <c r="I89" s="13">
        <v>170</v>
      </c>
      <c r="J89" s="13">
        <v>170</v>
      </c>
      <c r="K89" s="32">
        <v>210</v>
      </c>
      <c r="L89" s="32">
        <v>210</v>
      </c>
      <c r="M89" s="13">
        <v>170</v>
      </c>
      <c r="N89" s="12">
        <v>140</v>
      </c>
      <c r="O89" s="12">
        <v>140</v>
      </c>
    </row>
    <row r="90" spans="1:15" ht="16" x14ac:dyDescent="0.2">
      <c r="A90" s="10" t="s">
        <v>116</v>
      </c>
      <c r="B90" s="11">
        <v>210</v>
      </c>
      <c r="C90" s="3"/>
      <c r="D90" s="31">
        <v>170</v>
      </c>
      <c r="E90" s="15">
        <v>260</v>
      </c>
      <c r="F90" s="30">
        <v>210</v>
      </c>
      <c r="G90" s="30">
        <v>210</v>
      </c>
      <c r="H90" s="30">
        <v>210</v>
      </c>
      <c r="I90" s="15">
        <v>260</v>
      </c>
      <c r="J90" s="12">
        <v>140</v>
      </c>
      <c r="K90" s="30">
        <v>210</v>
      </c>
      <c r="L90" s="12">
        <v>140</v>
      </c>
      <c r="M90" s="31">
        <v>170</v>
      </c>
      <c r="N90" s="31">
        <v>170</v>
      </c>
      <c r="O90" s="31">
        <v>170</v>
      </c>
    </row>
    <row r="91" spans="1:15" ht="16" x14ac:dyDescent="0.2">
      <c r="A91" s="18" t="s">
        <v>117</v>
      </c>
      <c r="B91" s="11">
        <v>210</v>
      </c>
      <c r="C91" s="3"/>
      <c r="D91" s="13">
        <v>210</v>
      </c>
      <c r="E91" s="74">
        <v>170</v>
      </c>
      <c r="F91" s="15">
        <v>390</v>
      </c>
      <c r="G91" s="13">
        <v>210</v>
      </c>
      <c r="H91" s="74">
        <v>170</v>
      </c>
      <c r="I91" s="13">
        <v>210</v>
      </c>
      <c r="J91" s="64">
        <v>260</v>
      </c>
      <c r="K91" s="64">
        <v>260</v>
      </c>
      <c r="L91" s="64">
        <v>260</v>
      </c>
      <c r="M91" s="74">
        <v>170</v>
      </c>
      <c r="N91" s="12">
        <v>140</v>
      </c>
      <c r="O91" s="12">
        <v>140</v>
      </c>
    </row>
    <row r="92" spans="1:15" ht="16" x14ac:dyDescent="0.2">
      <c r="A92" s="18" t="s">
        <v>118</v>
      </c>
      <c r="B92" s="11">
        <v>210</v>
      </c>
      <c r="C92" s="3"/>
      <c r="D92" s="15">
        <v>210</v>
      </c>
      <c r="E92" s="12">
        <v>170</v>
      </c>
      <c r="F92" s="15">
        <v>210</v>
      </c>
      <c r="G92" s="12">
        <v>170</v>
      </c>
      <c r="H92" s="12">
        <v>170</v>
      </c>
      <c r="I92" s="12">
        <v>170</v>
      </c>
      <c r="J92" s="15">
        <v>210</v>
      </c>
      <c r="K92" s="12">
        <v>170</v>
      </c>
      <c r="L92" s="12">
        <v>170</v>
      </c>
      <c r="M92" s="15">
        <v>210</v>
      </c>
      <c r="N92" s="15">
        <v>210</v>
      </c>
      <c r="O92" s="15">
        <v>210</v>
      </c>
    </row>
    <row r="93" spans="1:15" ht="16" x14ac:dyDescent="0.2">
      <c r="A93" s="18" t="s">
        <v>119</v>
      </c>
      <c r="B93" s="11">
        <v>210</v>
      </c>
      <c r="C93" s="3"/>
      <c r="D93" s="12">
        <v>170</v>
      </c>
      <c r="E93" s="12">
        <v>170</v>
      </c>
      <c r="F93" s="13">
        <v>210</v>
      </c>
      <c r="G93" s="13">
        <v>210</v>
      </c>
      <c r="H93" s="12">
        <v>170</v>
      </c>
      <c r="I93" s="15">
        <v>260</v>
      </c>
      <c r="J93" s="12">
        <v>170</v>
      </c>
      <c r="K93" s="15">
        <v>260</v>
      </c>
      <c r="L93" s="13">
        <v>210</v>
      </c>
      <c r="M93" s="13">
        <v>210</v>
      </c>
      <c r="N93" s="13">
        <v>210</v>
      </c>
      <c r="O93" s="13">
        <v>210</v>
      </c>
    </row>
    <row r="94" spans="1:15" ht="16" x14ac:dyDescent="0.2">
      <c r="A94" s="18" t="s">
        <v>120</v>
      </c>
      <c r="B94" s="11">
        <v>210</v>
      </c>
      <c r="C94" s="3"/>
      <c r="D94" s="12">
        <v>170</v>
      </c>
      <c r="E94" s="15">
        <v>260</v>
      </c>
      <c r="F94" s="24">
        <v>210</v>
      </c>
      <c r="G94" s="24">
        <v>210</v>
      </c>
      <c r="H94" s="24">
        <v>210</v>
      </c>
      <c r="I94" s="12">
        <v>170</v>
      </c>
      <c r="J94" s="12">
        <v>170</v>
      </c>
      <c r="K94" s="12">
        <v>170</v>
      </c>
      <c r="L94" s="15">
        <v>260</v>
      </c>
      <c r="M94" s="15">
        <v>260</v>
      </c>
      <c r="N94" s="24">
        <v>210</v>
      </c>
      <c r="O94" s="24">
        <v>210</v>
      </c>
    </row>
    <row r="95" spans="1:15" ht="16" x14ac:dyDescent="0.2">
      <c r="A95" s="18" t="s">
        <v>121</v>
      </c>
      <c r="B95" s="11">
        <v>210</v>
      </c>
      <c r="C95" s="3"/>
      <c r="D95" s="15">
        <v>260</v>
      </c>
      <c r="E95" s="15">
        <v>260</v>
      </c>
      <c r="F95" s="15">
        <v>260</v>
      </c>
      <c r="G95" s="15">
        <v>260</v>
      </c>
      <c r="H95" s="24">
        <v>210</v>
      </c>
      <c r="I95" s="24">
        <v>210</v>
      </c>
      <c r="J95" s="24">
        <v>210</v>
      </c>
      <c r="K95" s="15">
        <v>260</v>
      </c>
      <c r="L95" s="24">
        <v>210</v>
      </c>
      <c r="M95" s="75">
        <v>170</v>
      </c>
      <c r="N95" s="12">
        <v>140</v>
      </c>
      <c r="O95" s="12">
        <v>140</v>
      </c>
    </row>
    <row r="96" spans="1:15" ht="16" x14ac:dyDescent="0.2">
      <c r="A96" s="18" t="s">
        <v>122</v>
      </c>
      <c r="B96" s="11">
        <v>210</v>
      </c>
      <c r="C96" s="3"/>
      <c r="D96" s="15">
        <v>260</v>
      </c>
      <c r="E96" s="15">
        <v>260</v>
      </c>
      <c r="F96" s="15">
        <v>260</v>
      </c>
      <c r="G96" s="15">
        <v>260</v>
      </c>
      <c r="H96" s="24">
        <v>210</v>
      </c>
      <c r="I96" s="24">
        <v>210</v>
      </c>
      <c r="J96" s="24">
        <v>210</v>
      </c>
      <c r="K96" s="15">
        <v>260</v>
      </c>
      <c r="L96" s="24">
        <v>210</v>
      </c>
      <c r="M96" s="75">
        <v>170</v>
      </c>
      <c r="N96" s="12">
        <v>140</v>
      </c>
      <c r="O96" s="12">
        <v>140</v>
      </c>
    </row>
    <row r="97" spans="1:15" ht="16" x14ac:dyDescent="0.2">
      <c r="A97" s="18" t="s">
        <v>123</v>
      </c>
      <c r="B97" s="11">
        <v>170</v>
      </c>
      <c r="C97" s="3"/>
      <c r="D97" s="31">
        <v>170</v>
      </c>
      <c r="E97" s="15">
        <v>210</v>
      </c>
      <c r="F97" s="12">
        <v>140</v>
      </c>
      <c r="G97" s="12">
        <v>140</v>
      </c>
      <c r="H97" s="12">
        <v>140</v>
      </c>
      <c r="I97" s="31">
        <v>170</v>
      </c>
      <c r="J97" s="12">
        <v>140</v>
      </c>
      <c r="K97" s="15">
        <v>210</v>
      </c>
      <c r="L97" s="15">
        <v>210</v>
      </c>
      <c r="M97" s="15">
        <v>210</v>
      </c>
      <c r="N97" s="15">
        <v>210</v>
      </c>
      <c r="O97" s="15">
        <v>210</v>
      </c>
    </row>
    <row r="98" spans="1:15" ht="16" x14ac:dyDescent="0.2">
      <c r="A98" s="18" t="s">
        <v>124</v>
      </c>
      <c r="B98" s="11">
        <v>170</v>
      </c>
      <c r="C98" s="3"/>
      <c r="D98" s="72">
        <v>210</v>
      </c>
      <c r="E98" s="15">
        <v>260</v>
      </c>
      <c r="F98" s="15">
        <v>260</v>
      </c>
      <c r="G98" s="15">
        <v>260</v>
      </c>
      <c r="H98" s="35">
        <v>110</v>
      </c>
      <c r="I98" s="12">
        <v>70</v>
      </c>
      <c r="J98" s="13">
        <v>90</v>
      </c>
      <c r="K98" s="13">
        <v>90</v>
      </c>
      <c r="L98" s="12">
        <v>70</v>
      </c>
      <c r="M98" s="12">
        <v>70</v>
      </c>
      <c r="N98" s="13">
        <v>90</v>
      </c>
      <c r="O98" s="13">
        <v>90</v>
      </c>
    </row>
    <row r="99" spans="1:15" ht="16" x14ac:dyDescent="0.2">
      <c r="A99" s="18" t="s">
        <v>125</v>
      </c>
      <c r="B99" s="11">
        <v>170</v>
      </c>
      <c r="C99" s="3"/>
      <c r="D99" s="76">
        <v>70</v>
      </c>
      <c r="E99" s="77">
        <v>170</v>
      </c>
      <c r="F99" s="12">
        <v>50</v>
      </c>
      <c r="G99" s="30">
        <v>210</v>
      </c>
      <c r="H99" s="74">
        <v>110</v>
      </c>
      <c r="I99" s="77">
        <v>170</v>
      </c>
      <c r="J99" s="15">
        <v>260</v>
      </c>
      <c r="K99" s="77">
        <v>170</v>
      </c>
      <c r="L99" s="15">
        <v>260</v>
      </c>
      <c r="M99" s="30">
        <v>210</v>
      </c>
      <c r="N99" s="15">
        <v>260</v>
      </c>
      <c r="O99" s="15">
        <v>260</v>
      </c>
    </row>
    <row r="100" spans="1:15" ht="16" x14ac:dyDescent="0.2">
      <c r="A100" s="18" t="s">
        <v>126</v>
      </c>
      <c r="B100" s="11">
        <v>170</v>
      </c>
      <c r="C100" s="3"/>
      <c r="D100" s="15">
        <v>260</v>
      </c>
      <c r="E100" s="17">
        <v>210</v>
      </c>
      <c r="F100" s="17">
        <v>210</v>
      </c>
      <c r="G100" s="78">
        <v>170</v>
      </c>
      <c r="H100" s="12">
        <v>90</v>
      </c>
      <c r="I100" s="13">
        <v>140</v>
      </c>
      <c r="J100" s="12">
        <v>90</v>
      </c>
      <c r="K100" s="13">
        <v>140</v>
      </c>
      <c r="L100" s="13">
        <v>140</v>
      </c>
      <c r="M100" s="78">
        <v>170</v>
      </c>
      <c r="N100" s="13">
        <v>140</v>
      </c>
      <c r="O100" s="13">
        <v>140</v>
      </c>
    </row>
    <row r="101" spans="1:15" ht="16" x14ac:dyDescent="0.2">
      <c r="A101" s="18" t="s">
        <v>127</v>
      </c>
      <c r="B101" s="11">
        <v>170</v>
      </c>
      <c r="C101" s="3"/>
      <c r="D101" s="12">
        <v>140</v>
      </c>
      <c r="E101" s="15">
        <v>210</v>
      </c>
      <c r="F101" s="53">
        <v>170</v>
      </c>
      <c r="G101" s="15">
        <v>210</v>
      </c>
      <c r="H101" s="53">
        <v>170</v>
      </c>
      <c r="I101" s="12">
        <v>140</v>
      </c>
      <c r="J101" s="53">
        <v>170</v>
      </c>
      <c r="K101" s="12">
        <v>140</v>
      </c>
      <c r="L101" s="12">
        <v>140</v>
      </c>
      <c r="M101" s="53">
        <v>170</v>
      </c>
      <c r="N101" s="12">
        <v>140</v>
      </c>
      <c r="O101" s="12">
        <v>140</v>
      </c>
    </row>
    <row r="102" spans="1:15" ht="16" x14ac:dyDescent="0.2">
      <c r="A102" s="10" t="s">
        <v>129</v>
      </c>
      <c r="B102" s="11">
        <v>170</v>
      </c>
      <c r="C102" s="3"/>
      <c r="D102" s="13">
        <v>170</v>
      </c>
      <c r="E102" s="15">
        <v>210</v>
      </c>
      <c r="F102" s="13">
        <v>170</v>
      </c>
      <c r="G102" s="13">
        <v>170</v>
      </c>
      <c r="H102" s="13">
        <v>170</v>
      </c>
      <c r="I102" s="12">
        <v>140</v>
      </c>
      <c r="J102" s="13">
        <v>170</v>
      </c>
      <c r="K102" s="15">
        <v>210</v>
      </c>
      <c r="L102" s="13">
        <v>170</v>
      </c>
      <c r="M102" s="15">
        <v>210</v>
      </c>
      <c r="N102" s="13">
        <v>170</v>
      </c>
      <c r="O102" s="13">
        <v>170</v>
      </c>
    </row>
    <row r="103" spans="1:15" ht="16" x14ac:dyDescent="0.2">
      <c r="A103" s="18" t="s">
        <v>130</v>
      </c>
      <c r="B103" s="11">
        <v>170</v>
      </c>
      <c r="C103" s="3"/>
      <c r="D103" s="79">
        <v>210</v>
      </c>
      <c r="E103" s="15">
        <v>260</v>
      </c>
      <c r="F103" s="79">
        <v>210</v>
      </c>
      <c r="G103" s="79">
        <v>210</v>
      </c>
      <c r="H103" s="79">
        <v>210</v>
      </c>
      <c r="I103" s="80">
        <v>110</v>
      </c>
      <c r="J103" s="80">
        <v>110</v>
      </c>
      <c r="K103" s="81">
        <v>140</v>
      </c>
      <c r="L103" s="79">
        <v>210</v>
      </c>
      <c r="M103" s="12">
        <v>90</v>
      </c>
      <c r="N103" s="12">
        <v>90</v>
      </c>
      <c r="O103" s="12">
        <v>90</v>
      </c>
    </row>
    <row r="104" spans="1:15" ht="16" x14ac:dyDescent="0.2">
      <c r="A104" s="18" t="s">
        <v>131</v>
      </c>
      <c r="B104" s="11">
        <v>170</v>
      </c>
      <c r="C104" s="3"/>
      <c r="D104" s="78">
        <v>170</v>
      </c>
      <c r="E104" s="15">
        <v>260</v>
      </c>
      <c r="F104" s="17">
        <v>210</v>
      </c>
      <c r="G104" s="78">
        <v>170</v>
      </c>
      <c r="H104" s="78">
        <v>170</v>
      </c>
      <c r="I104" s="13">
        <v>140</v>
      </c>
      <c r="J104" s="13">
        <v>140</v>
      </c>
      <c r="K104" s="13">
        <v>140</v>
      </c>
      <c r="L104" s="13">
        <v>140</v>
      </c>
      <c r="M104" s="12">
        <v>110</v>
      </c>
      <c r="N104" s="12">
        <v>110</v>
      </c>
      <c r="O104" s="12">
        <v>110</v>
      </c>
    </row>
    <row r="105" spans="1:15" ht="16" x14ac:dyDescent="0.2">
      <c r="A105" s="18" t="s">
        <v>132</v>
      </c>
      <c r="B105" s="11">
        <v>170</v>
      </c>
      <c r="C105" s="3"/>
      <c r="D105" s="20">
        <v>140</v>
      </c>
      <c r="E105" s="15">
        <v>170</v>
      </c>
      <c r="F105" s="15">
        <v>170</v>
      </c>
      <c r="G105" s="15">
        <v>170</v>
      </c>
      <c r="H105" s="15">
        <v>170</v>
      </c>
      <c r="I105" s="15">
        <v>170</v>
      </c>
      <c r="J105" s="15">
        <v>170</v>
      </c>
      <c r="K105" s="15">
        <v>170</v>
      </c>
      <c r="L105" s="20">
        <v>140</v>
      </c>
      <c r="M105" s="12">
        <v>110</v>
      </c>
      <c r="N105" s="12">
        <v>110</v>
      </c>
      <c r="O105" s="12">
        <v>110</v>
      </c>
    </row>
    <row r="106" spans="1:15" ht="16" x14ac:dyDescent="0.2">
      <c r="A106" s="18" t="s">
        <v>133</v>
      </c>
      <c r="B106" s="11">
        <v>170</v>
      </c>
      <c r="C106" s="3"/>
      <c r="D106" s="78">
        <v>170</v>
      </c>
      <c r="E106" s="15">
        <v>260</v>
      </c>
      <c r="F106" s="17">
        <v>210</v>
      </c>
      <c r="G106" s="78">
        <v>170</v>
      </c>
      <c r="H106" s="78">
        <v>170</v>
      </c>
      <c r="I106" s="13">
        <v>140</v>
      </c>
      <c r="J106" s="13">
        <v>140</v>
      </c>
      <c r="K106" s="13">
        <v>140</v>
      </c>
      <c r="L106" s="13">
        <v>140</v>
      </c>
      <c r="M106" s="12">
        <v>110</v>
      </c>
      <c r="N106" s="12">
        <v>110</v>
      </c>
      <c r="O106" s="12">
        <v>110</v>
      </c>
    </row>
    <row r="107" spans="1:15" ht="16" x14ac:dyDescent="0.2">
      <c r="A107" s="18" t="s">
        <v>135</v>
      </c>
      <c r="B107" s="11">
        <v>170</v>
      </c>
      <c r="C107" s="3"/>
      <c r="D107" s="82">
        <v>110</v>
      </c>
      <c r="E107" s="15">
        <v>320</v>
      </c>
      <c r="F107" s="57">
        <v>210</v>
      </c>
      <c r="G107" s="83">
        <v>140</v>
      </c>
      <c r="H107" s="84">
        <v>170</v>
      </c>
      <c r="I107" s="84">
        <v>170</v>
      </c>
      <c r="J107" s="12">
        <v>90</v>
      </c>
      <c r="K107" s="82">
        <v>110</v>
      </c>
      <c r="L107" s="83">
        <v>140</v>
      </c>
      <c r="M107" s="82">
        <v>110</v>
      </c>
      <c r="N107" s="82">
        <v>110</v>
      </c>
      <c r="O107" s="82">
        <v>110</v>
      </c>
    </row>
    <row r="108" spans="1:15" ht="16" x14ac:dyDescent="0.2">
      <c r="A108" s="18" t="s">
        <v>138</v>
      </c>
      <c r="B108" s="11">
        <v>170</v>
      </c>
      <c r="C108" s="3"/>
      <c r="D108" s="85">
        <v>140</v>
      </c>
      <c r="E108" s="86">
        <v>170</v>
      </c>
      <c r="F108" s="12">
        <v>50</v>
      </c>
      <c r="G108" s="86">
        <v>170</v>
      </c>
      <c r="H108" s="86">
        <v>170</v>
      </c>
      <c r="I108" s="87">
        <v>210</v>
      </c>
      <c r="J108" s="15">
        <v>390</v>
      </c>
      <c r="K108" s="87">
        <v>210</v>
      </c>
      <c r="L108" s="88">
        <v>260</v>
      </c>
      <c r="M108" s="86">
        <v>170</v>
      </c>
      <c r="N108" s="87">
        <v>210</v>
      </c>
      <c r="O108" s="87">
        <v>210</v>
      </c>
    </row>
    <row r="109" spans="1:15" ht="16" x14ac:dyDescent="0.2">
      <c r="A109" s="89" t="s">
        <v>139</v>
      </c>
      <c r="B109" s="90">
        <v>170</v>
      </c>
      <c r="C109" s="3"/>
      <c r="D109" s="91">
        <v>260</v>
      </c>
      <c r="E109" s="92">
        <v>210</v>
      </c>
      <c r="F109" s="92">
        <v>210</v>
      </c>
      <c r="G109" s="93">
        <v>170</v>
      </c>
      <c r="H109" s="94">
        <v>90</v>
      </c>
      <c r="I109" s="95">
        <v>140</v>
      </c>
      <c r="J109" s="94">
        <v>90</v>
      </c>
      <c r="K109" s="95">
        <v>140</v>
      </c>
      <c r="L109" s="95">
        <v>140</v>
      </c>
      <c r="M109" s="93">
        <v>170</v>
      </c>
      <c r="N109" s="95">
        <v>140</v>
      </c>
      <c r="O109" s="95">
        <v>140</v>
      </c>
    </row>
    <row r="110" spans="1:15" ht="16" x14ac:dyDescent="0.2">
      <c r="A110" s="10" t="s">
        <v>140</v>
      </c>
      <c r="B110" s="11">
        <v>140</v>
      </c>
      <c r="C110" s="3"/>
      <c r="D110" s="96">
        <v>140</v>
      </c>
      <c r="E110" s="15">
        <v>320</v>
      </c>
      <c r="F110" s="33">
        <v>260</v>
      </c>
      <c r="G110" s="97">
        <v>170</v>
      </c>
      <c r="H110" s="98">
        <v>110</v>
      </c>
      <c r="I110" s="13">
        <v>90</v>
      </c>
      <c r="J110" s="13">
        <v>90</v>
      </c>
      <c r="K110" s="13">
        <v>90</v>
      </c>
      <c r="L110" s="13">
        <v>90</v>
      </c>
      <c r="M110" s="12">
        <v>70</v>
      </c>
      <c r="N110" s="12">
        <v>70</v>
      </c>
      <c r="O110" s="12">
        <v>70</v>
      </c>
    </row>
    <row r="111" spans="1:15" ht="16" x14ac:dyDescent="0.2">
      <c r="A111" s="10" t="s">
        <v>141</v>
      </c>
      <c r="B111" s="11">
        <v>140</v>
      </c>
      <c r="C111" s="3"/>
      <c r="D111" s="15">
        <v>170</v>
      </c>
      <c r="E111" s="15">
        <v>170</v>
      </c>
      <c r="F111" s="15">
        <v>170</v>
      </c>
      <c r="G111" s="15">
        <v>170</v>
      </c>
      <c r="H111" s="99">
        <v>110</v>
      </c>
      <c r="I111" s="15">
        <v>170</v>
      </c>
      <c r="J111" s="99">
        <v>110</v>
      </c>
      <c r="K111" s="15">
        <v>170</v>
      </c>
      <c r="L111" s="99">
        <v>110</v>
      </c>
      <c r="M111" s="100">
        <v>140</v>
      </c>
      <c r="N111" s="12">
        <v>90</v>
      </c>
      <c r="O111" s="12">
        <v>90</v>
      </c>
    </row>
    <row r="112" spans="1:15" ht="16" x14ac:dyDescent="0.2">
      <c r="A112" s="10" t="s">
        <v>142</v>
      </c>
      <c r="B112" s="11">
        <v>140</v>
      </c>
      <c r="C112" s="3"/>
      <c r="D112" s="13">
        <v>140</v>
      </c>
      <c r="E112" s="13">
        <v>140</v>
      </c>
      <c r="F112" s="101">
        <v>90</v>
      </c>
      <c r="G112" s="15">
        <v>170</v>
      </c>
      <c r="H112" s="101">
        <v>90</v>
      </c>
      <c r="I112" s="82">
        <v>110</v>
      </c>
      <c r="J112" s="13">
        <v>140</v>
      </c>
      <c r="K112" s="15">
        <v>170</v>
      </c>
      <c r="L112" s="12">
        <v>70</v>
      </c>
      <c r="M112" s="15">
        <v>170</v>
      </c>
      <c r="N112" s="13">
        <v>140</v>
      </c>
      <c r="O112" s="13">
        <v>140</v>
      </c>
    </row>
    <row r="113" spans="1:15" ht="16" x14ac:dyDescent="0.2">
      <c r="A113" s="10" t="s">
        <v>145</v>
      </c>
      <c r="B113" s="11">
        <v>140</v>
      </c>
      <c r="C113" s="3"/>
      <c r="D113" s="15">
        <v>170</v>
      </c>
      <c r="E113" s="13">
        <v>140</v>
      </c>
      <c r="F113" s="15">
        <v>170</v>
      </c>
      <c r="G113" s="15">
        <v>170</v>
      </c>
      <c r="H113" s="13">
        <v>140</v>
      </c>
      <c r="I113" s="13">
        <v>140</v>
      </c>
      <c r="J113" s="12">
        <v>40</v>
      </c>
      <c r="K113" s="20">
        <v>90</v>
      </c>
      <c r="L113" s="13">
        <v>140</v>
      </c>
      <c r="M113" s="13">
        <v>140</v>
      </c>
      <c r="N113" s="13">
        <v>140</v>
      </c>
      <c r="O113" s="13">
        <v>140</v>
      </c>
    </row>
    <row r="114" spans="1:15" ht="16" x14ac:dyDescent="0.2">
      <c r="A114" s="18" t="s">
        <v>146</v>
      </c>
      <c r="B114" s="11">
        <v>140</v>
      </c>
      <c r="C114" s="3"/>
      <c r="D114" s="53">
        <v>170</v>
      </c>
      <c r="E114" s="53">
        <v>170</v>
      </c>
      <c r="F114" s="53">
        <v>170</v>
      </c>
      <c r="G114" s="15">
        <v>210</v>
      </c>
      <c r="H114" s="53">
        <v>170</v>
      </c>
      <c r="I114" s="100">
        <v>140</v>
      </c>
      <c r="J114" s="12">
        <v>90</v>
      </c>
      <c r="K114" s="99">
        <v>110</v>
      </c>
      <c r="L114" s="100">
        <v>140</v>
      </c>
      <c r="M114" s="53">
        <v>170</v>
      </c>
      <c r="N114" s="99">
        <v>110</v>
      </c>
      <c r="O114" s="99">
        <v>110</v>
      </c>
    </row>
    <row r="115" spans="1:15" ht="16" x14ac:dyDescent="0.2">
      <c r="A115" s="18" t="s">
        <v>147</v>
      </c>
      <c r="B115" s="11">
        <v>140</v>
      </c>
      <c r="C115" s="3"/>
      <c r="D115" s="15">
        <v>170</v>
      </c>
      <c r="E115" s="13">
        <v>140</v>
      </c>
      <c r="F115" s="13">
        <v>140</v>
      </c>
      <c r="G115" s="13">
        <v>140</v>
      </c>
      <c r="H115" s="12">
        <v>90</v>
      </c>
      <c r="I115" s="12">
        <v>90</v>
      </c>
      <c r="J115" s="12">
        <v>90</v>
      </c>
      <c r="K115" s="13">
        <v>140</v>
      </c>
      <c r="L115" s="13">
        <v>140</v>
      </c>
      <c r="M115" s="13">
        <v>140</v>
      </c>
      <c r="N115" s="102">
        <v>110</v>
      </c>
      <c r="O115" s="102">
        <v>110</v>
      </c>
    </row>
    <row r="116" spans="1:15" ht="16" x14ac:dyDescent="0.2">
      <c r="A116" s="10" t="s">
        <v>148</v>
      </c>
      <c r="B116" s="11">
        <v>140</v>
      </c>
      <c r="C116" s="3"/>
      <c r="D116" s="13">
        <v>140</v>
      </c>
      <c r="E116" s="15">
        <v>210</v>
      </c>
      <c r="F116" s="102">
        <v>110</v>
      </c>
      <c r="G116" s="103">
        <v>170</v>
      </c>
      <c r="H116" s="13">
        <v>140</v>
      </c>
      <c r="I116" s="13">
        <v>140</v>
      </c>
      <c r="J116" s="103">
        <v>170</v>
      </c>
      <c r="K116" s="13">
        <v>140</v>
      </c>
      <c r="L116" s="13">
        <v>140</v>
      </c>
      <c r="M116" s="12">
        <v>90</v>
      </c>
      <c r="N116" s="102">
        <v>110</v>
      </c>
      <c r="O116" s="102">
        <v>110</v>
      </c>
    </row>
    <row r="117" spans="1:15" ht="16" x14ac:dyDescent="0.2">
      <c r="A117" s="10" t="s">
        <v>149</v>
      </c>
      <c r="B117" s="11">
        <v>140</v>
      </c>
      <c r="C117" s="3"/>
      <c r="D117" s="13">
        <v>140</v>
      </c>
      <c r="E117" s="15">
        <v>170</v>
      </c>
      <c r="F117" s="15">
        <v>170</v>
      </c>
      <c r="G117" s="13">
        <v>140</v>
      </c>
      <c r="H117" s="13">
        <v>140</v>
      </c>
      <c r="I117" s="12">
        <v>110</v>
      </c>
      <c r="J117" s="12">
        <v>110</v>
      </c>
      <c r="K117" s="13">
        <v>140</v>
      </c>
      <c r="L117" s="12">
        <v>110</v>
      </c>
      <c r="M117" s="13">
        <v>140</v>
      </c>
      <c r="N117" s="12">
        <v>110</v>
      </c>
      <c r="O117" s="12">
        <v>110</v>
      </c>
    </row>
    <row r="118" spans="1:15" ht="16" x14ac:dyDescent="0.2">
      <c r="A118" s="10" t="s">
        <v>152</v>
      </c>
      <c r="B118" s="11">
        <v>140</v>
      </c>
      <c r="C118" s="3"/>
      <c r="D118" s="24">
        <v>140</v>
      </c>
      <c r="E118" s="15">
        <v>170</v>
      </c>
      <c r="F118" s="15">
        <v>170</v>
      </c>
      <c r="G118" s="24">
        <v>140</v>
      </c>
      <c r="H118" s="24">
        <v>140</v>
      </c>
      <c r="I118" s="12">
        <v>110</v>
      </c>
      <c r="J118" s="12">
        <v>110</v>
      </c>
      <c r="K118" s="24">
        <v>140</v>
      </c>
      <c r="L118" s="12">
        <v>110</v>
      </c>
      <c r="M118" s="24">
        <v>140</v>
      </c>
      <c r="N118" s="12">
        <v>110</v>
      </c>
      <c r="O118" s="12">
        <v>110</v>
      </c>
    </row>
    <row r="119" spans="1:15" ht="16" x14ac:dyDescent="0.2">
      <c r="A119" s="10" t="s">
        <v>583</v>
      </c>
      <c r="B119" s="11">
        <v>140</v>
      </c>
      <c r="C119" s="3"/>
      <c r="D119" s="12">
        <v>70</v>
      </c>
      <c r="E119" s="104">
        <v>170</v>
      </c>
      <c r="F119" s="15">
        <v>390</v>
      </c>
      <c r="G119" s="105">
        <v>210</v>
      </c>
      <c r="H119" s="106">
        <v>260</v>
      </c>
      <c r="I119" s="12">
        <v>70</v>
      </c>
      <c r="J119" s="107">
        <v>110</v>
      </c>
      <c r="K119" s="107">
        <v>110</v>
      </c>
      <c r="L119" s="107">
        <v>110</v>
      </c>
      <c r="M119" s="108">
        <v>140</v>
      </c>
      <c r="N119" s="104">
        <v>170</v>
      </c>
      <c r="O119" s="104">
        <v>170</v>
      </c>
    </row>
    <row r="120" spans="1:15" ht="16" x14ac:dyDescent="0.2">
      <c r="A120" s="10" t="s">
        <v>153</v>
      </c>
      <c r="B120" s="11">
        <v>140</v>
      </c>
      <c r="C120" s="3"/>
      <c r="D120" s="24">
        <v>140</v>
      </c>
      <c r="E120" s="15">
        <v>170</v>
      </c>
      <c r="F120" s="15">
        <v>170</v>
      </c>
      <c r="G120" s="24">
        <v>140</v>
      </c>
      <c r="H120" s="24">
        <v>140</v>
      </c>
      <c r="I120" s="12">
        <v>110</v>
      </c>
      <c r="J120" s="12">
        <v>110</v>
      </c>
      <c r="K120" s="24">
        <v>140</v>
      </c>
      <c r="L120" s="12">
        <v>110</v>
      </c>
      <c r="M120" s="24">
        <v>140</v>
      </c>
      <c r="N120" s="12">
        <v>110</v>
      </c>
      <c r="O120" s="12">
        <v>110</v>
      </c>
    </row>
    <row r="121" spans="1:15" ht="16" x14ac:dyDescent="0.2">
      <c r="A121" s="10" t="s">
        <v>154</v>
      </c>
      <c r="B121" s="11">
        <v>110</v>
      </c>
      <c r="C121" s="3"/>
      <c r="D121" s="13">
        <v>110</v>
      </c>
      <c r="E121" s="15">
        <v>210</v>
      </c>
      <c r="F121" s="20">
        <v>90</v>
      </c>
      <c r="G121" s="13">
        <v>110</v>
      </c>
      <c r="H121" s="109">
        <v>140</v>
      </c>
      <c r="I121" s="13">
        <v>110</v>
      </c>
      <c r="J121" s="13">
        <v>110</v>
      </c>
      <c r="K121" s="109">
        <v>140</v>
      </c>
      <c r="L121" s="109">
        <v>140</v>
      </c>
      <c r="M121" s="20">
        <v>90</v>
      </c>
      <c r="N121" s="12">
        <v>70</v>
      </c>
      <c r="O121" s="12">
        <v>70</v>
      </c>
    </row>
    <row r="122" spans="1:15" ht="16" x14ac:dyDescent="0.2">
      <c r="A122" s="10" t="s">
        <v>155</v>
      </c>
      <c r="B122" s="11">
        <v>110</v>
      </c>
      <c r="C122" s="3"/>
      <c r="D122" s="110">
        <v>70</v>
      </c>
      <c r="E122" s="111">
        <v>140</v>
      </c>
      <c r="F122" s="112">
        <v>90</v>
      </c>
      <c r="G122" s="111">
        <v>140</v>
      </c>
      <c r="H122" s="112">
        <v>90</v>
      </c>
      <c r="I122" s="13">
        <v>110</v>
      </c>
      <c r="J122" s="12">
        <v>50</v>
      </c>
      <c r="K122" s="15">
        <v>170</v>
      </c>
      <c r="L122" s="13">
        <v>110</v>
      </c>
      <c r="M122" s="111">
        <v>140</v>
      </c>
      <c r="N122" s="13">
        <v>110</v>
      </c>
      <c r="O122" s="13">
        <v>110</v>
      </c>
    </row>
    <row r="123" spans="1:15" ht="16" x14ac:dyDescent="0.2">
      <c r="A123" s="10" t="s">
        <v>156</v>
      </c>
      <c r="B123" s="11">
        <v>110</v>
      </c>
      <c r="C123" s="3"/>
      <c r="D123" s="13">
        <v>90</v>
      </c>
      <c r="E123" s="78">
        <v>110</v>
      </c>
      <c r="F123" s="20">
        <v>70</v>
      </c>
      <c r="G123" s="78">
        <v>110</v>
      </c>
      <c r="H123" s="13">
        <v>90</v>
      </c>
      <c r="I123" s="78">
        <v>110</v>
      </c>
      <c r="J123" s="12">
        <v>50</v>
      </c>
      <c r="K123" s="78">
        <v>110</v>
      </c>
      <c r="L123" s="15">
        <v>170</v>
      </c>
      <c r="M123" s="13">
        <v>90</v>
      </c>
      <c r="N123" s="13">
        <v>90</v>
      </c>
      <c r="O123" s="13">
        <v>90</v>
      </c>
    </row>
    <row r="124" spans="1:15" ht="16" x14ac:dyDescent="0.2">
      <c r="A124" s="10" t="s">
        <v>584</v>
      </c>
      <c r="B124" s="11">
        <v>110</v>
      </c>
      <c r="C124" s="3"/>
      <c r="D124" s="12">
        <v>90</v>
      </c>
      <c r="E124" s="12">
        <v>90</v>
      </c>
      <c r="F124" s="113">
        <v>110</v>
      </c>
      <c r="G124" s="113">
        <v>110</v>
      </c>
      <c r="H124" s="113">
        <v>110</v>
      </c>
      <c r="I124" s="12">
        <v>90</v>
      </c>
      <c r="J124" s="12">
        <v>90</v>
      </c>
      <c r="K124" s="113">
        <v>110</v>
      </c>
      <c r="L124" s="114">
        <v>170</v>
      </c>
      <c r="M124" s="15">
        <v>210</v>
      </c>
      <c r="N124" s="12">
        <v>90</v>
      </c>
      <c r="O124" s="12">
        <v>90</v>
      </c>
    </row>
    <row r="125" spans="1:15" ht="16" x14ac:dyDescent="0.2">
      <c r="A125" s="10" t="s">
        <v>157</v>
      </c>
      <c r="B125" s="11">
        <v>110</v>
      </c>
      <c r="C125" s="3"/>
      <c r="D125" s="112">
        <v>90</v>
      </c>
      <c r="E125" s="15">
        <v>140</v>
      </c>
      <c r="F125" s="13">
        <v>110</v>
      </c>
      <c r="G125" s="13">
        <v>110</v>
      </c>
      <c r="H125" s="15">
        <v>140</v>
      </c>
      <c r="I125" s="15">
        <v>140</v>
      </c>
      <c r="J125" s="15">
        <v>140</v>
      </c>
      <c r="K125" s="15">
        <v>140</v>
      </c>
      <c r="L125" s="13">
        <v>110</v>
      </c>
      <c r="M125" s="12">
        <v>50</v>
      </c>
      <c r="N125" s="12">
        <v>50</v>
      </c>
      <c r="O125" s="12">
        <v>50</v>
      </c>
    </row>
    <row r="126" spans="1:15" ht="16" x14ac:dyDescent="0.2">
      <c r="A126" s="10" t="s">
        <v>158</v>
      </c>
      <c r="B126" s="11">
        <v>110</v>
      </c>
      <c r="C126" s="3"/>
      <c r="D126" s="13">
        <v>110</v>
      </c>
      <c r="E126" s="111">
        <v>140</v>
      </c>
      <c r="F126" s="13">
        <v>110</v>
      </c>
      <c r="G126" s="13">
        <v>110</v>
      </c>
      <c r="H126" s="13">
        <v>110</v>
      </c>
      <c r="I126" s="12">
        <v>90</v>
      </c>
      <c r="J126" s="12">
        <v>90</v>
      </c>
      <c r="K126" s="15">
        <v>170</v>
      </c>
      <c r="L126" s="15">
        <v>170</v>
      </c>
      <c r="M126" s="13">
        <v>110</v>
      </c>
      <c r="N126" s="12">
        <v>90</v>
      </c>
      <c r="O126" s="12">
        <v>90</v>
      </c>
    </row>
    <row r="127" spans="1:15" ht="16" x14ac:dyDescent="0.2">
      <c r="A127" s="10" t="s">
        <v>159</v>
      </c>
      <c r="B127" s="11">
        <v>110</v>
      </c>
      <c r="C127" s="3"/>
      <c r="D127" s="13">
        <v>110</v>
      </c>
      <c r="E127" s="15">
        <v>140</v>
      </c>
      <c r="F127" s="15">
        <v>140</v>
      </c>
      <c r="G127" s="15">
        <v>140</v>
      </c>
      <c r="H127" s="12">
        <v>90</v>
      </c>
      <c r="I127" s="15">
        <v>140</v>
      </c>
      <c r="J127" s="12">
        <v>90</v>
      </c>
      <c r="K127" s="13">
        <v>110</v>
      </c>
      <c r="L127" s="12">
        <v>90</v>
      </c>
      <c r="M127" s="15">
        <v>140</v>
      </c>
      <c r="N127" s="12">
        <v>90</v>
      </c>
      <c r="O127" s="12">
        <v>90</v>
      </c>
    </row>
    <row r="128" spans="1:15" ht="16" x14ac:dyDescent="0.2">
      <c r="A128" s="10" t="s">
        <v>160</v>
      </c>
      <c r="B128" s="11">
        <v>110</v>
      </c>
      <c r="C128" s="3"/>
      <c r="D128" s="13">
        <v>110</v>
      </c>
      <c r="E128" s="15">
        <v>210</v>
      </c>
      <c r="F128" s="20">
        <v>90</v>
      </c>
      <c r="G128" s="13">
        <v>110</v>
      </c>
      <c r="H128" s="109">
        <v>140</v>
      </c>
      <c r="I128" s="13">
        <v>110</v>
      </c>
      <c r="J128" s="13">
        <v>110</v>
      </c>
      <c r="K128" s="109">
        <v>140</v>
      </c>
      <c r="L128" s="109">
        <v>140</v>
      </c>
      <c r="M128" s="20">
        <v>90</v>
      </c>
      <c r="N128" s="12">
        <v>70</v>
      </c>
      <c r="O128" s="12">
        <v>70</v>
      </c>
    </row>
    <row r="129" spans="1:15" ht="16" x14ac:dyDescent="0.2">
      <c r="A129" s="10" t="s">
        <v>161</v>
      </c>
      <c r="B129" s="11">
        <v>110</v>
      </c>
      <c r="C129" s="3"/>
      <c r="D129" s="12">
        <v>90</v>
      </c>
      <c r="E129" s="13">
        <v>110</v>
      </c>
      <c r="F129" s="13">
        <v>110</v>
      </c>
      <c r="G129" s="15">
        <v>170</v>
      </c>
      <c r="H129" s="12">
        <v>90</v>
      </c>
      <c r="I129" s="13">
        <v>110</v>
      </c>
      <c r="J129" s="13">
        <v>110</v>
      </c>
      <c r="K129" s="13">
        <v>110</v>
      </c>
      <c r="L129" s="13">
        <v>110</v>
      </c>
      <c r="M129" s="12">
        <v>90</v>
      </c>
      <c r="N129" s="12">
        <v>90</v>
      </c>
      <c r="O129" s="12">
        <v>90</v>
      </c>
    </row>
    <row r="130" spans="1:15" ht="16" x14ac:dyDescent="0.2">
      <c r="A130" s="10" t="s">
        <v>162</v>
      </c>
      <c r="B130" s="11">
        <v>110</v>
      </c>
      <c r="C130" s="3"/>
      <c r="D130" s="12">
        <v>90</v>
      </c>
      <c r="E130" s="115">
        <v>110</v>
      </c>
      <c r="F130" s="12">
        <v>90</v>
      </c>
      <c r="G130" s="115">
        <v>110</v>
      </c>
      <c r="H130" s="12">
        <v>90</v>
      </c>
      <c r="I130" s="37">
        <v>140</v>
      </c>
      <c r="J130" s="15">
        <v>170</v>
      </c>
      <c r="K130" s="115">
        <v>110</v>
      </c>
      <c r="L130" s="115">
        <v>110</v>
      </c>
      <c r="M130" s="12">
        <v>90</v>
      </c>
      <c r="N130" s="12">
        <v>90</v>
      </c>
      <c r="O130" s="12">
        <v>90</v>
      </c>
    </row>
    <row r="131" spans="1:15" ht="16" x14ac:dyDescent="0.2">
      <c r="A131" s="10" t="s">
        <v>163</v>
      </c>
      <c r="B131" s="11">
        <v>110</v>
      </c>
      <c r="C131" s="3"/>
      <c r="D131" s="13">
        <v>90</v>
      </c>
      <c r="E131" s="12">
        <v>70</v>
      </c>
      <c r="F131" s="116">
        <v>140</v>
      </c>
      <c r="G131" s="13">
        <v>90</v>
      </c>
      <c r="H131" s="15">
        <v>170</v>
      </c>
      <c r="I131" s="116">
        <v>140</v>
      </c>
      <c r="J131" s="13">
        <v>90</v>
      </c>
      <c r="K131" s="13">
        <v>90</v>
      </c>
      <c r="L131" s="78">
        <v>110</v>
      </c>
      <c r="M131" s="12">
        <v>70</v>
      </c>
      <c r="N131" s="13">
        <v>90</v>
      </c>
      <c r="O131" s="13">
        <v>90</v>
      </c>
    </row>
    <row r="132" spans="1:15" ht="16" x14ac:dyDescent="0.2">
      <c r="A132" s="10" t="s">
        <v>164</v>
      </c>
      <c r="B132" s="11">
        <v>110</v>
      </c>
      <c r="C132" s="3"/>
      <c r="D132" s="30">
        <v>110</v>
      </c>
      <c r="E132" s="15">
        <v>210</v>
      </c>
      <c r="F132" s="117">
        <v>170</v>
      </c>
      <c r="G132" s="111">
        <v>140</v>
      </c>
      <c r="H132" s="115">
        <v>90</v>
      </c>
      <c r="I132" s="12">
        <v>40</v>
      </c>
      <c r="J132" s="110">
        <v>50</v>
      </c>
      <c r="K132" s="13">
        <v>70</v>
      </c>
      <c r="L132" s="110">
        <v>50</v>
      </c>
      <c r="M132" s="13">
        <v>70</v>
      </c>
      <c r="N132" s="13">
        <v>70</v>
      </c>
      <c r="O132" s="13">
        <v>70</v>
      </c>
    </row>
    <row r="133" spans="1:15" ht="16" x14ac:dyDescent="0.2">
      <c r="A133" s="10" t="s">
        <v>165</v>
      </c>
      <c r="B133" s="11">
        <v>110</v>
      </c>
      <c r="C133" s="3"/>
      <c r="D133" s="118">
        <v>110</v>
      </c>
      <c r="E133" s="118">
        <v>110</v>
      </c>
      <c r="F133" s="119">
        <v>140</v>
      </c>
      <c r="G133" s="13">
        <v>90</v>
      </c>
      <c r="H133" s="13">
        <v>90</v>
      </c>
      <c r="I133" s="12">
        <v>70</v>
      </c>
      <c r="J133" s="12">
        <v>70</v>
      </c>
      <c r="K133" s="13">
        <v>90</v>
      </c>
      <c r="L133" s="15">
        <v>390</v>
      </c>
      <c r="M133" s="19">
        <v>170</v>
      </c>
      <c r="N133" s="12">
        <v>70</v>
      </c>
      <c r="O133" s="12">
        <v>70</v>
      </c>
    </row>
    <row r="134" spans="1:15" ht="16" x14ac:dyDescent="0.2">
      <c r="A134" s="10" t="s">
        <v>166</v>
      </c>
      <c r="B134" s="11">
        <v>110</v>
      </c>
      <c r="C134" s="3"/>
      <c r="D134" s="118">
        <v>110</v>
      </c>
      <c r="E134" s="118">
        <v>110</v>
      </c>
      <c r="F134" s="119">
        <v>140</v>
      </c>
      <c r="G134" s="13">
        <v>90</v>
      </c>
      <c r="H134" s="13">
        <v>90</v>
      </c>
      <c r="I134" s="12">
        <v>70</v>
      </c>
      <c r="J134" s="12">
        <v>70</v>
      </c>
      <c r="K134" s="13">
        <v>90</v>
      </c>
      <c r="L134" s="15">
        <v>390</v>
      </c>
      <c r="M134" s="19">
        <v>170</v>
      </c>
      <c r="N134" s="12">
        <v>70</v>
      </c>
      <c r="O134" s="12">
        <v>70</v>
      </c>
    </row>
    <row r="135" spans="1:15" ht="16" x14ac:dyDescent="0.2">
      <c r="A135" s="10" t="s">
        <v>167</v>
      </c>
      <c r="B135" s="11">
        <v>110</v>
      </c>
      <c r="C135" s="3"/>
      <c r="D135" s="118">
        <v>110</v>
      </c>
      <c r="E135" s="118">
        <v>110</v>
      </c>
      <c r="F135" s="119">
        <v>140</v>
      </c>
      <c r="G135" s="13">
        <v>90</v>
      </c>
      <c r="H135" s="13">
        <v>90</v>
      </c>
      <c r="I135" s="12">
        <v>70</v>
      </c>
      <c r="J135" s="12">
        <v>70</v>
      </c>
      <c r="K135" s="13">
        <v>90</v>
      </c>
      <c r="L135" s="15">
        <v>390</v>
      </c>
      <c r="M135" s="19">
        <v>170</v>
      </c>
      <c r="N135" s="12">
        <v>70</v>
      </c>
      <c r="O135" s="12">
        <v>70</v>
      </c>
    </row>
    <row r="136" spans="1:15" ht="16" x14ac:dyDescent="0.2">
      <c r="A136" s="89" t="s">
        <v>170</v>
      </c>
      <c r="B136" s="90">
        <v>110</v>
      </c>
      <c r="C136" s="3"/>
      <c r="D136" s="91">
        <v>140</v>
      </c>
      <c r="E136" s="91">
        <v>140</v>
      </c>
      <c r="F136" s="91">
        <v>140</v>
      </c>
      <c r="G136" s="91">
        <v>140</v>
      </c>
      <c r="H136" s="120">
        <v>90</v>
      </c>
      <c r="I136" s="120">
        <v>90</v>
      </c>
      <c r="J136" s="121">
        <v>70</v>
      </c>
      <c r="K136" s="122">
        <v>110</v>
      </c>
      <c r="L136" s="122">
        <v>110</v>
      </c>
      <c r="M136" s="91">
        <v>140</v>
      </c>
      <c r="N136" s="91">
        <v>140</v>
      </c>
      <c r="O136" s="91">
        <v>140</v>
      </c>
    </row>
    <row r="137" spans="1:15" ht="16" x14ac:dyDescent="0.2">
      <c r="A137" s="18" t="s">
        <v>568</v>
      </c>
      <c r="B137" s="123">
        <v>100</v>
      </c>
      <c r="C137" s="3"/>
      <c r="D137" s="123">
        <v>100</v>
      </c>
      <c r="E137" s="123">
        <v>90</v>
      </c>
      <c r="F137" s="123">
        <v>100</v>
      </c>
      <c r="G137" s="123">
        <v>100</v>
      </c>
      <c r="H137" s="123">
        <v>100</v>
      </c>
      <c r="I137" s="123">
        <v>100</v>
      </c>
      <c r="J137" s="123">
        <v>100</v>
      </c>
      <c r="K137" s="123">
        <v>90</v>
      </c>
      <c r="L137" s="123">
        <v>90</v>
      </c>
      <c r="M137" s="123">
        <v>90</v>
      </c>
      <c r="N137" s="123">
        <v>200</v>
      </c>
      <c r="O137" s="123">
        <v>80</v>
      </c>
    </row>
    <row r="138" spans="1:15" ht="16" x14ac:dyDescent="0.2">
      <c r="A138" s="10" t="s">
        <v>176</v>
      </c>
      <c r="B138" s="11">
        <v>90</v>
      </c>
      <c r="C138" s="3"/>
      <c r="D138" s="13">
        <v>70</v>
      </c>
      <c r="E138" s="15">
        <v>170</v>
      </c>
      <c r="F138" s="12">
        <v>50</v>
      </c>
      <c r="G138" s="124">
        <v>90</v>
      </c>
      <c r="H138" s="125">
        <v>140</v>
      </c>
      <c r="I138" s="13">
        <v>70</v>
      </c>
      <c r="J138" s="13">
        <v>70</v>
      </c>
      <c r="K138" s="124">
        <v>90</v>
      </c>
      <c r="L138" s="124">
        <v>90</v>
      </c>
      <c r="M138" s="13">
        <v>70</v>
      </c>
      <c r="N138" s="13">
        <v>70</v>
      </c>
      <c r="O138" s="13">
        <v>70</v>
      </c>
    </row>
    <row r="139" spans="1:15" ht="16" x14ac:dyDescent="0.2">
      <c r="A139" s="10" t="s">
        <v>177</v>
      </c>
      <c r="B139" s="11">
        <v>90</v>
      </c>
      <c r="C139" s="3"/>
      <c r="D139" s="12">
        <v>70</v>
      </c>
      <c r="E139" s="37">
        <v>110</v>
      </c>
      <c r="F139" s="12">
        <v>70</v>
      </c>
      <c r="G139" s="30">
        <v>90</v>
      </c>
      <c r="H139" s="15">
        <v>140</v>
      </c>
      <c r="I139" s="37">
        <v>110</v>
      </c>
      <c r="J139" s="12">
        <v>70</v>
      </c>
      <c r="K139" s="12">
        <v>70</v>
      </c>
      <c r="L139" s="12">
        <v>70</v>
      </c>
      <c r="M139" s="12">
        <v>70</v>
      </c>
      <c r="N139" s="12">
        <v>70</v>
      </c>
      <c r="O139" s="12">
        <v>70</v>
      </c>
    </row>
    <row r="140" spans="1:15" ht="16" x14ac:dyDescent="0.2">
      <c r="A140" s="10" t="s">
        <v>178</v>
      </c>
      <c r="B140" s="11">
        <v>90</v>
      </c>
      <c r="C140" s="3"/>
      <c r="D140" s="13">
        <v>90</v>
      </c>
      <c r="E140" s="12">
        <v>70</v>
      </c>
      <c r="F140" s="13">
        <v>90</v>
      </c>
      <c r="G140" s="12">
        <v>70</v>
      </c>
      <c r="H140" s="12">
        <v>70</v>
      </c>
      <c r="I140" s="15">
        <v>110</v>
      </c>
      <c r="J140" s="13">
        <v>90</v>
      </c>
      <c r="K140" s="15">
        <v>110</v>
      </c>
      <c r="L140" s="15">
        <v>110</v>
      </c>
      <c r="M140" s="13">
        <v>90</v>
      </c>
      <c r="N140" s="13">
        <v>90</v>
      </c>
      <c r="O140" s="13">
        <v>90</v>
      </c>
    </row>
    <row r="141" spans="1:15" ht="16" x14ac:dyDescent="0.2">
      <c r="A141" s="10" t="s">
        <v>179</v>
      </c>
      <c r="B141" s="11">
        <v>90</v>
      </c>
      <c r="C141" s="3"/>
      <c r="D141" s="77">
        <v>40</v>
      </c>
      <c r="E141" s="77">
        <v>40</v>
      </c>
      <c r="F141" s="126">
        <v>50</v>
      </c>
      <c r="G141" s="126">
        <v>50</v>
      </c>
      <c r="H141" s="126">
        <v>50</v>
      </c>
      <c r="I141" s="77">
        <v>40</v>
      </c>
      <c r="J141" s="126">
        <v>50</v>
      </c>
      <c r="K141" s="101">
        <v>20</v>
      </c>
      <c r="L141" s="12">
        <v>10</v>
      </c>
      <c r="M141" s="12">
        <v>10</v>
      </c>
      <c r="N141" s="15">
        <v>480</v>
      </c>
      <c r="O141" s="15">
        <v>480</v>
      </c>
    </row>
    <row r="142" spans="1:15" ht="16" x14ac:dyDescent="0.2">
      <c r="A142" s="127" t="s">
        <v>180</v>
      </c>
      <c r="B142" s="90">
        <v>90</v>
      </c>
      <c r="C142" s="3"/>
      <c r="D142" s="121">
        <v>70</v>
      </c>
      <c r="E142" s="128">
        <v>90</v>
      </c>
      <c r="F142" s="121">
        <v>70</v>
      </c>
      <c r="G142" s="121">
        <v>70</v>
      </c>
      <c r="H142" s="128">
        <v>90</v>
      </c>
      <c r="I142" s="129">
        <v>110</v>
      </c>
      <c r="J142" s="91">
        <v>140</v>
      </c>
      <c r="K142" s="91">
        <v>140</v>
      </c>
      <c r="L142" s="91">
        <v>140</v>
      </c>
      <c r="M142" s="128">
        <v>90</v>
      </c>
      <c r="N142" s="121">
        <v>70</v>
      </c>
      <c r="O142" s="121">
        <v>70</v>
      </c>
    </row>
    <row r="143" spans="1:15" ht="16" x14ac:dyDescent="0.2">
      <c r="A143" s="10" t="s">
        <v>181</v>
      </c>
      <c r="B143" s="11">
        <v>90</v>
      </c>
      <c r="C143" s="3"/>
      <c r="D143" s="12">
        <v>50</v>
      </c>
      <c r="E143" s="20">
        <v>70</v>
      </c>
      <c r="F143" s="12">
        <v>50</v>
      </c>
      <c r="G143" s="13">
        <v>90</v>
      </c>
      <c r="H143" s="130">
        <v>110</v>
      </c>
      <c r="I143" s="15">
        <v>140</v>
      </c>
      <c r="J143" s="130">
        <v>110</v>
      </c>
      <c r="K143" s="130">
        <v>110</v>
      </c>
      <c r="L143" s="15">
        <v>140</v>
      </c>
      <c r="M143" s="13">
        <v>90</v>
      </c>
      <c r="N143" s="12">
        <v>50</v>
      </c>
      <c r="O143" s="12">
        <v>50</v>
      </c>
    </row>
    <row r="144" spans="1:15" ht="16" x14ac:dyDescent="0.2">
      <c r="A144" s="10" t="s">
        <v>182</v>
      </c>
      <c r="B144" s="11">
        <v>90</v>
      </c>
      <c r="C144" s="3"/>
      <c r="D144" s="12">
        <v>30</v>
      </c>
      <c r="E144" s="110">
        <v>50</v>
      </c>
      <c r="F144" s="112">
        <v>70</v>
      </c>
      <c r="G144" s="78">
        <v>110</v>
      </c>
      <c r="H144" s="13">
        <v>90</v>
      </c>
      <c r="I144" s="78">
        <v>110</v>
      </c>
      <c r="J144" s="15">
        <v>170</v>
      </c>
      <c r="K144" s="116">
        <v>140</v>
      </c>
      <c r="L144" s="116">
        <v>140</v>
      </c>
      <c r="M144" s="13">
        <v>90</v>
      </c>
      <c r="N144" s="13">
        <v>90</v>
      </c>
      <c r="O144" s="13">
        <v>90</v>
      </c>
    </row>
    <row r="145" spans="1:15" ht="16" x14ac:dyDescent="0.2">
      <c r="A145" s="10" t="s">
        <v>184</v>
      </c>
      <c r="B145" s="11">
        <v>90</v>
      </c>
      <c r="C145" s="3"/>
      <c r="D145" s="131">
        <v>70</v>
      </c>
      <c r="E145" s="15">
        <v>390</v>
      </c>
      <c r="F145" s="12">
        <v>30</v>
      </c>
      <c r="G145" s="20">
        <v>40</v>
      </c>
      <c r="H145" s="13">
        <v>50</v>
      </c>
      <c r="I145" s="12">
        <v>30</v>
      </c>
      <c r="J145" s="20">
        <v>40</v>
      </c>
      <c r="K145" s="132">
        <v>170</v>
      </c>
      <c r="L145" s="13">
        <v>50</v>
      </c>
      <c r="M145" s="13">
        <v>50</v>
      </c>
      <c r="N145" s="13">
        <v>50</v>
      </c>
      <c r="O145" s="13">
        <v>50</v>
      </c>
    </row>
    <row r="146" spans="1:15" ht="16" x14ac:dyDescent="0.2">
      <c r="A146" s="10" t="s">
        <v>185</v>
      </c>
      <c r="B146" s="11">
        <v>90</v>
      </c>
      <c r="C146" s="3"/>
      <c r="D146" s="131">
        <v>70</v>
      </c>
      <c r="E146" s="15">
        <v>390</v>
      </c>
      <c r="F146" s="12">
        <v>30</v>
      </c>
      <c r="G146" s="20">
        <v>40</v>
      </c>
      <c r="H146" s="13">
        <v>50</v>
      </c>
      <c r="I146" s="12">
        <v>30</v>
      </c>
      <c r="J146" s="20">
        <v>40</v>
      </c>
      <c r="K146" s="132">
        <v>170</v>
      </c>
      <c r="L146" s="13">
        <v>50</v>
      </c>
      <c r="M146" s="13">
        <v>50</v>
      </c>
      <c r="N146" s="13">
        <v>50</v>
      </c>
      <c r="O146" s="13">
        <v>50</v>
      </c>
    </row>
    <row r="147" spans="1:15" ht="16" x14ac:dyDescent="0.2">
      <c r="A147" s="10" t="s">
        <v>585</v>
      </c>
      <c r="B147" s="11">
        <v>90</v>
      </c>
      <c r="C147" s="3"/>
      <c r="D147" s="15">
        <v>110</v>
      </c>
      <c r="E147" s="15">
        <v>110</v>
      </c>
      <c r="F147" s="112">
        <v>70</v>
      </c>
      <c r="G147" s="112">
        <v>70</v>
      </c>
      <c r="H147" s="54">
        <v>90</v>
      </c>
      <c r="I147" s="54">
        <v>90</v>
      </c>
      <c r="J147" s="54">
        <v>90</v>
      </c>
      <c r="K147" s="15">
        <v>110</v>
      </c>
      <c r="L147" s="112">
        <v>70</v>
      </c>
      <c r="M147" s="112">
        <v>70</v>
      </c>
      <c r="N147" s="12">
        <v>50</v>
      </c>
      <c r="O147" s="12">
        <v>50</v>
      </c>
    </row>
    <row r="148" spans="1:15" ht="16" x14ac:dyDescent="0.2">
      <c r="A148" s="18" t="s">
        <v>188</v>
      </c>
      <c r="B148" s="11">
        <v>90</v>
      </c>
      <c r="C148" s="3"/>
      <c r="D148" s="12">
        <v>70</v>
      </c>
      <c r="E148" s="24">
        <v>90</v>
      </c>
      <c r="F148" s="15">
        <v>110</v>
      </c>
      <c r="G148" s="15">
        <v>110</v>
      </c>
      <c r="H148" s="12">
        <v>70</v>
      </c>
      <c r="I148" s="24">
        <v>90</v>
      </c>
      <c r="J148" s="24">
        <v>90</v>
      </c>
      <c r="K148" s="15">
        <v>110</v>
      </c>
      <c r="L148" s="24">
        <v>90</v>
      </c>
      <c r="M148" s="24">
        <v>90</v>
      </c>
      <c r="N148" s="15">
        <v>110</v>
      </c>
      <c r="O148" s="15">
        <v>110</v>
      </c>
    </row>
    <row r="149" spans="1:15" ht="16" x14ac:dyDescent="0.2">
      <c r="A149" s="18" t="s">
        <v>189</v>
      </c>
      <c r="B149" s="11">
        <v>90</v>
      </c>
      <c r="C149" s="3"/>
      <c r="D149" s="133">
        <v>110</v>
      </c>
      <c r="E149" s="133">
        <v>110</v>
      </c>
      <c r="F149" s="134">
        <v>140</v>
      </c>
      <c r="G149" s="133">
        <v>110</v>
      </c>
      <c r="H149" s="135">
        <v>70</v>
      </c>
      <c r="I149" s="136">
        <v>50</v>
      </c>
      <c r="J149" s="12">
        <v>30</v>
      </c>
      <c r="K149" s="135">
        <v>70</v>
      </c>
      <c r="L149" s="133">
        <v>110</v>
      </c>
      <c r="M149" s="15">
        <v>170</v>
      </c>
      <c r="N149" s="135">
        <v>70</v>
      </c>
      <c r="O149" s="135">
        <v>70</v>
      </c>
    </row>
    <row r="150" spans="1:15" ht="16" x14ac:dyDescent="0.2">
      <c r="A150" s="10" t="s">
        <v>190</v>
      </c>
      <c r="B150" s="11">
        <v>90</v>
      </c>
      <c r="C150" s="3"/>
      <c r="D150" s="15">
        <v>140</v>
      </c>
      <c r="E150" s="137">
        <v>110</v>
      </c>
      <c r="F150" s="137">
        <v>110</v>
      </c>
      <c r="G150" s="137">
        <v>110</v>
      </c>
      <c r="H150" s="138">
        <v>70</v>
      </c>
      <c r="I150" s="138">
        <v>70</v>
      </c>
      <c r="J150" s="105">
        <v>40</v>
      </c>
      <c r="K150" s="138">
        <v>70</v>
      </c>
      <c r="L150" s="137">
        <v>110</v>
      </c>
      <c r="M150" s="139">
        <v>90</v>
      </c>
      <c r="N150" s="138">
        <v>70</v>
      </c>
      <c r="O150" s="138">
        <v>70</v>
      </c>
    </row>
    <row r="151" spans="1:15" ht="16" x14ac:dyDescent="0.2">
      <c r="A151" s="10" t="s">
        <v>571</v>
      </c>
      <c r="B151" s="123">
        <v>80</v>
      </c>
      <c r="C151" s="3"/>
      <c r="D151" s="123">
        <v>70</v>
      </c>
      <c r="E151" s="123">
        <v>70</v>
      </c>
      <c r="F151" s="123">
        <v>70</v>
      </c>
      <c r="G151" s="123">
        <v>80</v>
      </c>
      <c r="H151" s="123">
        <v>90</v>
      </c>
      <c r="I151" s="123">
        <v>80</v>
      </c>
      <c r="J151" s="123">
        <v>100</v>
      </c>
      <c r="K151" s="123">
        <v>60</v>
      </c>
      <c r="L151" s="123">
        <v>60</v>
      </c>
      <c r="M151" s="123">
        <v>60</v>
      </c>
      <c r="N151" s="123">
        <v>40</v>
      </c>
      <c r="O151" s="123">
        <v>50</v>
      </c>
    </row>
    <row r="152" spans="1:15" ht="16" x14ac:dyDescent="0.2">
      <c r="A152" s="10" t="s">
        <v>191</v>
      </c>
      <c r="B152" s="11">
        <v>70</v>
      </c>
      <c r="C152" s="3"/>
      <c r="D152" s="15">
        <v>90</v>
      </c>
      <c r="E152" s="20">
        <v>50</v>
      </c>
      <c r="F152" s="54">
        <v>70</v>
      </c>
      <c r="G152" s="20">
        <v>50</v>
      </c>
      <c r="H152" s="54">
        <v>70</v>
      </c>
      <c r="I152" s="54">
        <v>70</v>
      </c>
      <c r="J152" s="20">
        <v>50</v>
      </c>
      <c r="K152" s="20">
        <v>50</v>
      </c>
      <c r="L152" s="15">
        <v>90</v>
      </c>
      <c r="M152" s="54">
        <v>70</v>
      </c>
      <c r="N152" s="12">
        <v>40</v>
      </c>
      <c r="O152" s="12">
        <v>40</v>
      </c>
    </row>
    <row r="153" spans="1:15" ht="16" x14ac:dyDescent="0.2">
      <c r="A153" s="10" t="s">
        <v>192</v>
      </c>
      <c r="B153" s="11">
        <v>70</v>
      </c>
      <c r="C153" s="3"/>
      <c r="D153" s="13">
        <v>70</v>
      </c>
      <c r="E153" s="13">
        <v>70</v>
      </c>
      <c r="F153" s="111">
        <v>90</v>
      </c>
      <c r="G153" s="13">
        <v>70</v>
      </c>
      <c r="H153" s="111">
        <v>90</v>
      </c>
      <c r="I153" s="15">
        <v>110</v>
      </c>
      <c r="J153" s="13">
        <v>70</v>
      </c>
      <c r="K153" s="13">
        <v>70</v>
      </c>
      <c r="L153" s="13">
        <v>70</v>
      </c>
      <c r="M153" s="12">
        <v>50</v>
      </c>
      <c r="N153" s="12">
        <v>50</v>
      </c>
      <c r="O153" s="12">
        <v>50</v>
      </c>
    </row>
    <row r="154" spans="1:15" ht="16" x14ac:dyDescent="0.2">
      <c r="A154" s="10" t="s">
        <v>193</v>
      </c>
      <c r="B154" s="11">
        <v>70</v>
      </c>
      <c r="C154" s="3"/>
      <c r="D154" s="13">
        <v>70</v>
      </c>
      <c r="E154" s="13">
        <v>70</v>
      </c>
      <c r="F154" s="13">
        <v>70</v>
      </c>
      <c r="G154" s="111">
        <v>90</v>
      </c>
      <c r="H154" s="111">
        <v>90</v>
      </c>
      <c r="I154" s="110">
        <v>50</v>
      </c>
      <c r="J154" s="12">
        <v>40</v>
      </c>
      <c r="K154" s="13">
        <v>70</v>
      </c>
      <c r="L154" s="15">
        <v>110</v>
      </c>
      <c r="M154" s="111">
        <v>90</v>
      </c>
      <c r="N154" s="12">
        <v>40</v>
      </c>
      <c r="O154" s="12">
        <v>40</v>
      </c>
    </row>
    <row r="155" spans="1:15" ht="16" x14ac:dyDescent="0.2">
      <c r="A155" s="10" t="s">
        <v>194</v>
      </c>
      <c r="B155" s="11">
        <v>70</v>
      </c>
      <c r="C155" s="3"/>
      <c r="D155" s="15">
        <v>110</v>
      </c>
      <c r="E155" s="15">
        <v>110</v>
      </c>
      <c r="F155" s="15">
        <v>110</v>
      </c>
      <c r="G155" s="13">
        <v>50</v>
      </c>
      <c r="H155" s="140">
        <v>90</v>
      </c>
      <c r="I155" s="110">
        <v>30</v>
      </c>
      <c r="J155" s="110">
        <v>30</v>
      </c>
      <c r="K155" s="12">
        <v>20</v>
      </c>
      <c r="L155" s="12">
        <v>20</v>
      </c>
      <c r="M155" s="12">
        <v>20</v>
      </c>
      <c r="N155" s="13">
        <v>50</v>
      </c>
      <c r="O155" s="13">
        <v>50</v>
      </c>
    </row>
    <row r="156" spans="1:15" ht="16" x14ac:dyDescent="0.2">
      <c r="A156" s="10" t="s">
        <v>196</v>
      </c>
      <c r="B156" s="11">
        <v>70</v>
      </c>
      <c r="C156" s="3"/>
      <c r="D156" s="13">
        <v>70</v>
      </c>
      <c r="E156" s="15">
        <v>90</v>
      </c>
      <c r="F156" s="15">
        <v>90</v>
      </c>
      <c r="G156" s="15">
        <v>90</v>
      </c>
      <c r="H156" s="15">
        <v>90</v>
      </c>
      <c r="I156" s="13">
        <v>70</v>
      </c>
      <c r="J156" s="13">
        <v>70</v>
      </c>
      <c r="K156" s="15">
        <v>90</v>
      </c>
      <c r="L156" s="13">
        <v>70</v>
      </c>
      <c r="M156" s="12">
        <v>50</v>
      </c>
      <c r="N156" s="13">
        <v>70</v>
      </c>
      <c r="O156" s="13">
        <v>70</v>
      </c>
    </row>
    <row r="157" spans="1:15" ht="16" x14ac:dyDescent="0.2">
      <c r="A157" s="10" t="s">
        <v>197</v>
      </c>
      <c r="B157" s="11">
        <v>70</v>
      </c>
      <c r="C157" s="3"/>
      <c r="D157" s="101">
        <v>30</v>
      </c>
      <c r="E157" s="101">
        <v>30</v>
      </c>
      <c r="F157" s="12">
        <v>20</v>
      </c>
      <c r="G157" s="141">
        <v>110</v>
      </c>
      <c r="H157" s="142">
        <v>90</v>
      </c>
      <c r="I157" s="143">
        <v>70</v>
      </c>
      <c r="J157" s="143">
        <v>70</v>
      </c>
      <c r="K157" s="12">
        <v>20</v>
      </c>
      <c r="L157" s="82">
        <v>40</v>
      </c>
      <c r="M157" s="101">
        <v>30</v>
      </c>
      <c r="N157" s="15">
        <v>170</v>
      </c>
      <c r="O157" s="15">
        <v>170</v>
      </c>
    </row>
    <row r="158" spans="1:15" ht="16" x14ac:dyDescent="0.2">
      <c r="A158" s="144" t="s">
        <v>198</v>
      </c>
      <c r="B158" s="11">
        <v>70</v>
      </c>
      <c r="C158" s="3"/>
      <c r="D158" s="111">
        <v>70</v>
      </c>
      <c r="E158" s="111">
        <v>70</v>
      </c>
      <c r="F158" s="111">
        <v>70</v>
      </c>
      <c r="G158" s="111">
        <v>70</v>
      </c>
      <c r="H158" s="15">
        <v>90</v>
      </c>
      <c r="I158" s="13">
        <v>50</v>
      </c>
      <c r="J158" s="13">
        <v>50</v>
      </c>
      <c r="K158" s="13">
        <v>50</v>
      </c>
      <c r="L158" s="13">
        <v>50</v>
      </c>
      <c r="M158" s="20">
        <v>40</v>
      </c>
      <c r="N158" s="12">
        <v>30</v>
      </c>
      <c r="O158" s="12">
        <v>30</v>
      </c>
    </row>
    <row r="159" spans="1:15" ht="16" x14ac:dyDescent="0.2">
      <c r="A159" s="18" t="s">
        <v>199</v>
      </c>
      <c r="B159" s="11">
        <v>70</v>
      </c>
      <c r="C159" s="3"/>
      <c r="D159" s="13">
        <v>70</v>
      </c>
      <c r="E159" s="15">
        <v>110</v>
      </c>
      <c r="F159" s="13">
        <v>70</v>
      </c>
      <c r="G159" s="111">
        <v>90</v>
      </c>
      <c r="H159" s="13">
        <v>70</v>
      </c>
      <c r="I159" s="13">
        <v>70</v>
      </c>
      <c r="J159" s="12">
        <v>20</v>
      </c>
      <c r="K159" s="13">
        <v>70</v>
      </c>
      <c r="L159" s="31">
        <v>50</v>
      </c>
      <c r="M159" s="111">
        <v>90</v>
      </c>
      <c r="N159" s="31">
        <v>50</v>
      </c>
      <c r="O159" s="31">
        <v>50</v>
      </c>
    </row>
    <row r="160" spans="1:15" ht="16" x14ac:dyDescent="0.2">
      <c r="A160" s="18" t="s">
        <v>200</v>
      </c>
      <c r="B160" s="11">
        <v>70</v>
      </c>
      <c r="C160" s="3"/>
      <c r="D160" s="15">
        <v>90</v>
      </c>
      <c r="E160" s="15">
        <v>90</v>
      </c>
      <c r="F160" s="15">
        <v>90</v>
      </c>
      <c r="G160" s="15">
        <v>90</v>
      </c>
      <c r="H160" s="13">
        <v>70</v>
      </c>
      <c r="I160" s="110">
        <v>50</v>
      </c>
      <c r="J160" s="12">
        <v>40</v>
      </c>
      <c r="K160" s="13">
        <v>70</v>
      </c>
      <c r="L160" s="13">
        <v>70</v>
      </c>
      <c r="M160" s="13">
        <v>70</v>
      </c>
      <c r="N160" s="110">
        <v>50</v>
      </c>
      <c r="O160" s="110">
        <v>50</v>
      </c>
    </row>
    <row r="161" spans="1:15" ht="16" x14ac:dyDescent="0.2">
      <c r="A161" s="10" t="s">
        <v>201</v>
      </c>
      <c r="B161" s="11">
        <v>70</v>
      </c>
      <c r="C161" s="3"/>
      <c r="D161" s="13">
        <v>70</v>
      </c>
      <c r="E161" s="15">
        <v>90</v>
      </c>
      <c r="F161" s="15">
        <v>90</v>
      </c>
      <c r="G161" s="13">
        <v>70</v>
      </c>
      <c r="H161" s="13">
        <v>70</v>
      </c>
      <c r="I161" s="12">
        <v>40</v>
      </c>
      <c r="J161" s="12">
        <v>40</v>
      </c>
      <c r="K161" s="110">
        <v>50</v>
      </c>
      <c r="L161" s="13">
        <v>70</v>
      </c>
      <c r="M161" s="13">
        <v>70</v>
      </c>
      <c r="N161" s="15">
        <v>90</v>
      </c>
      <c r="O161" s="15">
        <v>90</v>
      </c>
    </row>
    <row r="162" spans="1:15" ht="16" x14ac:dyDescent="0.2">
      <c r="A162" s="10" t="s">
        <v>202</v>
      </c>
      <c r="B162" s="11">
        <v>70</v>
      </c>
      <c r="C162" s="3"/>
      <c r="D162" s="12">
        <v>50</v>
      </c>
      <c r="E162" s="145">
        <v>90</v>
      </c>
      <c r="F162" s="124">
        <v>70</v>
      </c>
      <c r="G162" s="15">
        <v>110</v>
      </c>
      <c r="H162" s="12">
        <v>50</v>
      </c>
      <c r="I162" s="12">
        <v>50</v>
      </c>
      <c r="J162" s="12">
        <v>50</v>
      </c>
      <c r="K162" s="124">
        <v>70</v>
      </c>
      <c r="L162" s="124">
        <v>70</v>
      </c>
      <c r="M162" s="124">
        <v>70</v>
      </c>
      <c r="N162" s="12">
        <v>50</v>
      </c>
      <c r="O162" s="12">
        <v>50</v>
      </c>
    </row>
    <row r="163" spans="1:15" ht="16" x14ac:dyDescent="0.2">
      <c r="A163" s="10" t="s">
        <v>203</v>
      </c>
      <c r="B163" s="11">
        <v>70</v>
      </c>
      <c r="C163" s="3"/>
      <c r="D163" s="13">
        <v>70</v>
      </c>
      <c r="E163" s="12">
        <v>50</v>
      </c>
      <c r="F163" s="15">
        <v>90</v>
      </c>
      <c r="G163" s="13">
        <v>70</v>
      </c>
      <c r="H163" s="13">
        <v>70</v>
      </c>
      <c r="I163" s="15">
        <v>90</v>
      </c>
      <c r="J163" s="13">
        <v>70</v>
      </c>
      <c r="K163" s="13">
        <v>70</v>
      </c>
      <c r="L163" s="15">
        <v>90</v>
      </c>
      <c r="M163" s="13">
        <v>70</v>
      </c>
      <c r="N163" s="15">
        <v>90</v>
      </c>
      <c r="O163" s="15">
        <v>90</v>
      </c>
    </row>
    <row r="164" spans="1:15" ht="16" x14ac:dyDescent="0.2">
      <c r="A164" s="10" t="s">
        <v>205</v>
      </c>
      <c r="B164" s="11">
        <v>70</v>
      </c>
      <c r="C164" s="3"/>
      <c r="D164" s="13">
        <v>70</v>
      </c>
      <c r="E164" s="12">
        <v>50</v>
      </c>
      <c r="F164" s="15">
        <v>90</v>
      </c>
      <c r="G164" s="13">
        <v>70</v>
      </c>
      <c r="H164" s="13">
        <v>70</v>
      </c>
      <c r="I164" s="15">
        <v>90</v>
      </c>
      <c r="J164" s="13">
        <v>70</v>
      </c>
      <c r="K164" s="13">
        <v>70</v>
      </c>
      <c r="L164" s="15">
        <v>90</v>
      </c>
      <c r="M164" s="13">
        <v>70</v>
      </c>
      <c r="N164" s="15">
        <v>90</v>
      </c>
      <c r="O164" s="15">
        <v>90</v>
      </c>
    </row>
    <row r="165" spans="1:15" ht="16" x14ac:dyDescent="0.2">
      <c r="A165" s="10" t="s">
        <v>206</v>
      </c>
      <c r="B165" s="11">
        <v>70</v>
      </c>
      <c r="C165" s="3"/>
      <c r="D165" s="12">
        <v>10</v>
      </c>
      <c r="E165" s="82">
        <v>30</v>
      </c>
      <c r="F165" s="77">
        <v>40</v>
      </c>
      <c r="G165" s="82">
        <v>30</v>
      </c>
      <c r="H165" s="77">
        <v>40</v>
      </c>
      <c r="I165" s="146">
        <v>50</v>
      </c>
      <c r="J165" s="62">
        <v>70</v>
      </c>
      <c r="K165" s="77">
        <v>40</v>
      </c>
      <c r="L165" s="53">
        <v>90</v>
      </c>
      <c r="M165" s="15">
        <v>210</v>
      </c>
      <c r="N165" s="15">
        <v>210</v>
      </c>
      <c r="O165" s="15">
        <v>210</v>
      </c>
    </row>
    <row r="166" spans="1:15" ht="16" x14ac:dyDescent="0.2">
      <c r="A166" s="10" t="s">
        <v>207</v>
      </c>
      <c r="B166" s="11">
        <v>70</v>
      </c>
      <c r="C166" s="3"/>
      <c r="D166" s="13">
        <v>50</v>
      </c>
      <c r="E166" s="13">
        <v>50</v>
      </c>
      <c r="F166" s="15">
        <v>90</v>
      </c>
      <c r="G166" s="15">
        <v>90</v>
      </c>
      <c r="H166" s="13">
        <v>50</v>
      </c>
      <c r="I166" s="12">
        <v>40</v>
      </c>
      <c r="J166" s="13">
        <v>50</v>
      </c>
      <c r="K166" s="13">
        <v>50</v>
      </c>
      <c r="L166" s="111">
        <v>70</v>
      </c>
      <c r="M166" s="111">
        <v>70</v>
      </c>
      <c r="N166" s="13">
        <v>50</v>
      </c>
      <c r="O166" s="13">
        <v>50</v>
      </c>
    </row>
    <row r="167" spans="1:15" ht="16" x14ac:dyDescent="0.2">
      <c r="A167" s="10" t="s">
        <v>209</v>
      </c>
      <c r="B167" s="11">
        <v>70</v>
      </c>
      <c r="C167" s="3"/>
      <c r="D167" s="15">
        <v>90</v>
      </c>
      <c r="E167" s="20">
        <v>50</v>
      </c>
      <c r="F167" s="54">
        <v>70</v>
      </c>
      <c r="G167" s="20">
        <v>50</v>
      </c>
      <c r="H167" s="54">
        <v>70</v>
      </c>
      <c r="I167" s="54">
        <v>70</v>
      </c>
      <c r="J167" s="20">
        <v>50</v>
      </c>
      <c r="K167" s="20">
        <v>50</v>
      </c>
      <c r="L167" s="15">
        <v>90</v>
      </c>
      <c r="M167" s="54">
        <v>70</v>
      </c>
      <c r="N167" s="12">
        <v>40</v>
      </c>
      <c r="O167" s="12">
        <v>40</v>
      </c>
    </row>
    <row r="168" spans="1:15" ht="16" x14ac:dyDescent="0.2">
      <c r="A168" s="10" t="s">
        <v>210</v>
      </c>
      <c r="B168" s="11">
        <v>70</v>
      </c>
      <c r="C168" s="3"/>
      <c r="D168" s="15">
        <v>140</v>
      </c>
      <c r="E168" s="15">
        <v>140</v>
      </c>
      <c r="F168" s="147">
        <v>110</v>
      </c>
      <c r="G168" s="148">
        <v>70</v>
      </c>
      <c r="H168" s="13">
        <v>30</v>
      </c>
      <c r="I168" s="13">
        <v>30</v>
      </c>
      <c r="J168" s="113">
        <v>40</v>
      </c>
      <c r="K168" s="12">
        <v>20</v>
      </c>
      <c r="L168" s="13">
        <v>30</v>
      </c>
      <c r="M168" s="13">
        <v>30</v>
      </c>
      <c r="N168" s="12">
        <v>20</v>
      </c>
      <c r="O168" s="12">
        <v>20</v>
      </c>
    </row>
    <row r="169" spans="1:15" ht="16" x14ac:dyDescent="0.2">
      <c r="A169" s="10" t="s">
        <v>211</v>
      </c>
      <c r="B169" s="11">
        <v>70</v>
      </c>
      <c r="C169" s="3"/>
      <c r="D169" s="13">
        <v>70</v>
      </c>
      <c r="E169" s="15">
        <v>90</v>
      </c>
      <c r="F169" s="13">
        <v>70</v>
      </c>
      <c r="G169" s="13">
        <v>70</v>
      </c>
      <c r="H169" s="13">
        <v>70</v>
      </c>
      <c r="I169" s="13">
        <v>70</v>
      </c>
      <c r="J169" s="12">
        <v>50</v>
      </c>
      <c r="K169" s="15">
        <v>90</v>
      </c>
      <c r="L169" s="15">
        <v>90</v>
      </c>
      <c r="M169" s="13">
        <v>70</v>
      </c>
      <c r="N169" s="12">
        <v>50</v>
      </c>
      <c r="O169" s="12">
        <v>50</v>
      </c>
    </row>
    <row r="170" spans="1:15" ht="16" x14ac:dyDescent="0.2">
      <c r="A170" s="10" t="s">
        <v>212</v>
      </c>
      <c r="B170" s="11">
        <v>70</v>
      </c>
      <c r="C170" s="3"/>
      <c r="D170" s="13">
        <v>70</v>
      </c>
      <c r="E170" s="110">
        <v>50</v>
      </c>
      <c r="F170" s="15">
        <v>110</v>
      </c>
      <c r="G170" s="13">
        <v>70</v>
      </c>
      <c r="H170" s="13">
        <v>70</v>
      </c>
      <c r="I170" s="13">
        <v>70</v>
      </c>
      <c r="J170" s="110">
        <v>50</v>
      </c>
      <c r="K170" s="110">
        <v>50</v>
      </c>
      <c r="L170" s="12">
        <v>40</v>
      </c>
      <c r="M170" s="110">
        <v>50</v>
      </c>
      <c r="N170" s="13">
        <v>70</v>
      </c>
      <c r="O170" s="13">
        <v>70</v>
      </c>
    </row>
    <row r="171" spans="1:15" ht="16" x14ac:dyDescent="0.2">
      <c r="A171" s="10" t="s">
        <v>213</v>
      </c>
      <c r="B171" s="11">
        <v>70</v>
      </c>
      <c r="C171" s="3"/>
      <c r="D171" s="149">
        <v>50</v>
      </c>
      <c r="E171" s="149">
        <v>50</v>
      </c>
      <c r="F171" s="31">
        <v>40</v>
      </c>
      <c r="G171" s="150">
        <v>70</v>
      </c>
      <c r="H171" s="150">
        <v>70</v>
      </c>
      <c r="I171" s="31">
        <v>40</v>
      </c>
      <c r="J171" s="15">
        <v>140</v>
      </c>
      <c r="K171" s="151">
        <v>90</v>
      </c>
      <c r="L171" s="150">
        <v>70</v>
      </c>
      <c r="M171" s="150">
        <v>70</v>
      </c>
      <c r="N171" s="12">
        <v>10</v>
      </c>
      <c r="O171" s="12">
        <v>10</v>
      </c>
    </row>
    <row r="172" spans="1:15" ht="16" x14ac:dyDescent="0.2">
      <c r="A172" s="10" t="s">
        <v>214</v>
      </c>
      <c r="B172" s="11">
        <v>70</v>
      </c>
      <c r="C172" s="3"/>
      <c r="D172" s="149">
        <v>50</v>
      </c>
      <c r="E172" s="149">
        <v>50</v>
      </c>
      <c r="F172" s="31">
        <v>40</v>
      </c>
      <c r="G172" s="150">
        <v>70</v>
      </c>
      <c r="H172" s="150">
        <v>70</v>
      </c>
      <c r="I172" s="31">
        <v>40</v>
      </c>
      <c r="J172" s="15">
        <v>140</v>
      </c>
      <c r="K172" s="151">
        <v>90</v>
      </c>
      <c r="L172" s="150">
        <v>70</v>
      </c>
      <c r="M172" s="150">
        <v>70</v>
      </c>
      <c r="N172" s="12">
        <v>10</v>
      </c>
      <c r="O172" s="12">
        <v>10</v>
      </c>
    </row>
    <row r="173" spans="1:15" ht="16" x14ac:dyDescent="0.2">
      <c r="A173" s="18" t="s">
        <v>215</v>
      </c>
      <c r="B173" s="11">
        <v>70</v>
      </c>
      <c r="C173" s="3"/>
      <c r="D173" s="152">
        <v>70</v>
      </c>
      <c r="E173" s="65">
        <v>140</v>
      </c>
      <c r="F173" s="65">
        <v>140</v>
      </c>
      <c r="G173" s="54">
        <v>90</v>
      </c>
      <c r="H173" s="15">
        <v>210</v>
      </c>
      <c r="I173" s="13">
        <v>30</v>
      </c>
      <c r="J173" s="13">
        <v>30</v>
      </c>
      <c r="K173" s="12">
        <v>20</v>
      </c>
      <c r="L173" s="12">
        <v>20</v>
      </c>
      <c r="M173" s="12">
        <v>20</v>
      </c>
      <c r="N173" s="12">
        <v>20</v>
      </c>
      <c r="O173" s="12">
        <v>20</v>
      </c>
    </row>
    <row r="174" spans="1:15" ht="16" x14ac:dyDescent="0.2">
      <c r="A174" s="18" t="s">
        <v>216</v>
      </c>
      <c r="B174" s="11">
        <v>70</v>
      </c>
      <c r="C174" s="3"/>
      <c r="D174" s="15">
        <v>70</v>
      </c>
      <c r="E174" s="15">
        <v>70</v>
      </c>
      <c r="F174" s="15">
        <v>70</v>
      </c>
      <c r="G174" s="13">
        <v>50</v>
      </c>
      <c r="H174" s="15">
        <v>70</v>
      </c>
      <c r="I174" s="13">
        <v>50</v>
      </c>
      <c r="J174" s="13">
        <v>50</v>
      </c>
      <c r="K174" s="13">
        <v>50</v>
      </c>
      <c r="L174" s="13">
        <v>50</v>
      </c>
      <c r="M174" s="13">
        <v>50</v>
      </c>
      <c r="N174" s="12">
        <v>40</v>
      </c>
      <c r="O174" s="12">
        <v>40</v>
      </c>
    </row>
    <row r="175" spans="1:15" ht="16" x14ac:dyDescent="0.2">
      <c r="A175" s="10" t="s">
        <v>217</v>
      </c>
      <c r="B175" s="11">
        <v>70</v>
      </c>
      <c r="C175" s="3"/>
      <c r="D175" s="15">
        <v>70</v>
      </c>
      <c r="E175" s="114">
        <v>50</v>
      </c>
      <c r="F175" s="113">
        <v>20</v>
      </c>
      <c r="G175" s="113">
        <v>20</v>
      </c>
      <c r="H175" s="39">
        <v>40</v>
      </c>
      <c r="I175" s="113">
        <v>20</v>
      </c>
      <c r="J175" s="12">
        <v>10</v>
      </c>
      <c r="K175" s="12">
        <v>10</v>
      </c>
      <c r="L175" s="12">
        <v>10</v>
      </c>
      <c r="M175" s="12">
        <v>10</v>
      </c>
      <c r="N175" s="12">
        <v>10</v>
      </c>
      <c r="O175" s="12">
        <v>10</v>
      </c>
    </row>
    <row r="176" spans="1:15" ht="16" x14ac:dyDescent="0.2">
      <c r="A176" s="10" t="s">
        <v>218</v>
      </c>
      <c r="B176" s="11">
        <v>70</v>
      </c>
      <c r="C176" s="3"/>
      <c r="D176" s="13">
        <v>50</v>
      </c>
      <c r="E176" s="111">
        <v>70</v>
      </c>
      <c r="F176" s="15">
        <v>90</v>
      </c>
      <c r="G176" s="15">
        <v>90</v>
      </c>
      <c r="H176" s="13">
        <v>50</v>
      </c>
      <c r="I176" s="12">
        <v>30</v>
      </c>
      <c r="J176" s="111">
        <v>70</v>
      </c>
      <c r="K176" s="111">
        <v>70</v>
      </c>
      <c r="L176" s="13">
        <v>50</v>
      </c>
      <c r="M176" s="20">
        <v>40</v>
      </c>
      <c r="N176" s="13">
        <v>50</v>
      </c>
      <c r="O176" s="13">
        <v>50</v>
      </c>
    </row>
    <row r="177" spans="1:15" ht="16" x14ac:dyDescent="0.2">
      <c r="A177" s="10" t="s">
        <v>219</v>
      </c>
      <c r="B177" s="11">
        <v>70</v>
      </c>
      <c r="C177" s="3"/>
      <c r="D177" s="15">
        <v>90</v>
      </c>
      <c r="E177" s="13">
        <v>70</v>
      </c>
      <c r="F177" s="15">
        <v>90</v>
      </c>
      <c r="G177" s="13">
        <v>70</v>
      </c>
      <c r="H177" s="13">
        <v>70</v>
      </c>
      <c r="I177" s="13">
        <v>70</v>
      </c>
      <c r="J177" s="20">
        <v>50</v>
      </c>
      <c r="K177" s="20">
        <v>50</v>
      </c>
      <c r="L177" s="13">
        <v>70</v>
      </c>
      <c r="M177" s="12">
        <v>30</v>
      </c>
      <c r="N177" s="20">
        <v>50</v>
      </c>
      <c r="O177" s="20">
        <v>50</v>
      </c>
    </row>
    <row r="178" spans="1:15" ht="16" x14ac:dyDescent="0.2">
      <c r="A178" s="10" t="s">
        <v>222</v>
      </c>
      <c r="B178" s="11">
        <v>70</v>
      </c>
      <c r="C178" s="3"/>
      <c r="D178" s="153">
        <v>50</v>
      </c>
      <c r="E178" s="15">
        <v>140</v>
      </c>
      <c r="F178" s="154">
        <v>90</v>
      </c>
      <c r="G178" s="154">
        <v>90</v>
      </c>
      <c r="H178" s="51">
        <v>110</v>
      </c>
      <c r="I178" s="155">
        <v>70</v>
      </c>
      <c r="J178" s="155">
        <v>70</v>
      </c>
      <c r="K178" s="153">
        <v>50</v>
      </c>
      <c r="L178" s="156">
        <v>40</v>
      </c>
      <c r="M178" s="153">
        <v>50</v>
      </c>
      <c r="N178" s="156">
        <v>40</v>
      </c>
      <c r="O178" s="156">
        <v>40</v>
      </c>
    </row>
    <row r="179" spans="1:15" ht="16" x14ac:dyDescent="0.2">
      <c r="A179" s="18" t="s">
        <v>226</v>
      </c>
      <c r="B179" s="11">
        <v>70</v>
      </c>
      <c r="C179" s="3"/>
      <c r="D179" s="15">
        <v>90</v>
      </c>
      <c r="E179" s="15">
        <v>90</v>
      </c>
      <c r="F179" s="15">
        <v>90</v>
      </c>
      <c r="G179" s="24">
        <v>50</v>
      </c>
      <c r="H179" s="157">
        <v>70</v>
      </c>
      <c r="I179" s="24">
        <v>50</v>
      </c>
      <c r="J179" s="24">
        <v>50</v>
      </c>
      <c r="K179" s="12">
        <v>40</v>
      </c>
      <c r="L179" s="24">
        <v>50</v>
      </c>
      <c r="M179" s="24">
        <v>50</v>
      </c>
      <c r="N179" s="12">
        <v>40</v>
      </c>
      <c r="O179" s="12">
        <v>40</v>
      </c>
    </row>
    <row r="180" spans="1:15" ht="16" x14ac:dyDescent="0.2">
      <c r="A180" s="18" t="s">
        <v>227</v>
      </c>
      <c r="B180" s="11">
        <v>50</v>
      </c>
      <c r="C180" s="3"/>
      <c r="D180" s="12">
        <v>30</v>
      </c>
      <c r="E180" s="158">
        <v>70</v>
      </c>
      <c r="F180" s="15">
        <v>110</v>
      </c>
      <c r="G180" s="112">
        <v>40</v>
      </c>
      <c r="H180" s="158">
        <v>70</v>
      </c>
      <c r="I180" s="83">
        <v>50</v>
      </c>
      <c r="J180" s="83">
        <v>50</v>
      </c>
      <c r="K180" s="12">
        <v>30</v>
      </c>
      <c r="L180" s="112">
        <v>40</v>
      </c>
      <c r="M180" s="83">
        <v>50</v>
      </c>
      <c r="N180" s="12">
        <v>30</v>
      </c>
      <c r="O180" s="12">
        <v>30</v>
      </c>
    </row>
    <row r="181" spans="1:15" ht="16" x14ac:dyDescent="0.2">
      <c r="A181" s="18" t="s">
        <v>228</v>
      </c>
      <c r="B181" s="11">
        <v>50</v>
      </c>
      <c r="C181" s="3"/>
      <c r="D181" s="13">
        <v>50</v>
      </c>
      <c r="E181" s="111">
        <v>70</v>
      </c>
      <c r="F181" s="13">
        <v>50</v>
      </c>
      <c r="G181" s="15">
        <v>90</v>
      </c>
      <c r="H181" s="13">
        <v>50</v>
      </c>
      <c r="I181" s="20">
        <v>40</v>
      </c>
      <c r="J181" s="13">
        <v>50</v>
      </c>
      <c r="K181" s="13">
        <v>50</v>
      </c>
      <c r="L181" s="20">
        <v>40</v>
      </c>
      <c r="M181" s="12">
        <v>30</v>
      </c>
      <c r="N181" s="13">
        <v>50</v>
      </c>
      <c r="O181" s="13">
        <v>50</v>
      </c>
    </row>
    <row r="182" spans="1:15" ht="16" x14ac:dyDescent="0.2">
      <c r="A182" s="18" t="s">
        <v>229</v>
      </c>
      <c r="B182" s="11">
        <v>50</v>
      </c>
      <c r="C182" s="3"/>
      <c r="D182" s="15">
        <v>70</v>
      </c>
      <c r="E182" s="13">
        <v>50</v>
      </c>
      <c r="F182" s="13">
        <v>50</v>
      </c>
      <c r="G182" s="15">
        <v>70</v>
      </c>
      <c r="H182" s="13">
        <v>50</v>
      </c>
      <c r="I182" s="13">
        <v>50</v>
      </c>
      <c r="J182" s="12">
        <v>40</v>
      </c>
      <c r="K182" s="13">
        <v>50</v>
      </c>
      <c r="L182" s="12">
        <v>40</v>
      </c>
      <c r="M182" s="12">
        <v>40</v>
      </c>
      <c r="N182" s="12">
        <v>40</v>
      </c>
      <c r="O182" s="12">
        <v>40</v>
      </c>
    </row>
    <row r="183" spans="1:15" ht="16" x14ac:dyDescent="0.2">
      <c r="A183" s="10" t="s">
        <v>230</v>
      </c>
      <c r="B183" s="11">
        <v>50</v>
      </c>
      <c r="C183" s="3"/>
      <c r="D183" s="42">
        <v>70</v>
      </c>
      <c r="E183" s="15">
        <v>140</v>
      </c>
      <c r="F183" s="15">
        <v>140</v>
      </c>
      <c r="G183" s="159">
        <v>90</v>
      </c>
      <c r="H183" s="13">
        <v>10</v>
      </c>
      <c r="I183" s="13">
        <v>10</v>
      </c>
      <c r="J183" s="12">
        <v>0</v>
      </c>
      <c r="K183" s="12">
        <v>0</v>
      </c>
      <c r="L183" s="13">
        <v>10</v>
      </c>
      <c r="M183" s="13">
        <v>10</v>
      </c>
      <c r="N183" s="13">
        <v>10</v>
      </c>
      <c r="O183" s="13">
        <v>10</v>
      </c>
    </row>
    <row r="184" spans="1:15" ht="16" x14ac:dyDescent="0.2">
      <c r="A184" s="10" t="s">
        <v>231</v>
      </c>
      <c r="B184" s="11">
        <v>50</v>
      </c>
      <c r="C184" s="3"/>
      <c r="D184" s="110">
        <v>30</v>
      </c>
      <c r="E184" s="13">
        <v>50</v>
      </c>
      <c r="F184" s="12">
        <v>20</v>
      </c>
      <c r="G184" s="110">
        <v>30</v>
      </c>
      <c r="H184" s="13">
        <v>50</v>
      </c>
      <c r="I184" s="13">
        <v>50</v>
      </c>
      <c r="J184" s="13">
        <v>50</v>
      </c>
      <c r="K184" s="13">
        <v>50</v>
      </c>
      <c r="L184" s="112">
        <v>40</v>
      </c>
      <c r="M184" s="15">
        <v>70</v>
      </c>
      <c r="N184" s="13">
        <v>50</v>
      </c>
      <c r="O184" s="13">
        <v>50</v>
      </c>
    </row>
    <row r="185" spans="1:15" ht="16" x14ac:dyDescent="0.2">
      <c r="A185" s="10" t="s">
        <v>232</v>
      </c>
      <c r="B185" s="11">
        <v>50</v>
      </c>
      <c r="C185" s="3"/>
      <c r="D185" s="13">
        <v>50</v>
      </c>
      <c r="E185" s="13">
        <v>50</v>
      </c>
      <c r="F185" s="13">
        <v>50</v>
      </c>
      <c r="G185" s="15">
        <v>70</v>
      </c>
      <c r="H185" s="15">
        <v>70</v>
      </c>
      <c r="I185" s="20">
        <v>40</v>
      </c>
      <c r="J185" s="12">
        <v>30</v>
      </c>
      <c r="K185" s="13">
        <v>50</v>
      </c>
      <c r="L185" s="13">
        <v>50</v>
      </c>
      <c r="M185" s="12">
        <v>30</v>
      </c>
      <c r="N185" s="13">
        <v>50</v>
      </c>
      <c r="O185" s="13">
        <v>50</v>
      </c>
    </row>
    <row r="186" spans="1:15" ht="16" x14ac:dyDescent="0.2">
      <c r="A186" s="18" t="s">
        <v>233</v>
      </c>
      <c r="B186" s="11">
        <v>50</v>
      </c>
      <c r="C186" s="3"/>
      <c r="D186" s="112">
        <v>40</v>
      </c>
      <c r="E186" s="111">
        <v>70</v>
      </c>
      <c r="F186" s="112">
        <v>40</v>
      </c>
      <c r="G186" s="111">
        <v>70</v>
      </c>
      <c r="H186" s="13">
        <v>50</v>
      </c>
      <c r="I186" s="12">
        <v>20</v>
      </c>
      <c r="J186" s="112">
        <v>40</v>
      </c>
      <c r="K186" s="112">
        <v>40</v>
      </c>
      <c r="L186" s="111">
        <v>70</v>
      </c>
      <c r="M186" s="15">
        <v>90</v>
      </c>
      <c r="N186" s="13">
        <v>50</v>
      </c>
      <c r="O186" s="13">
        <v>50</v>
      </c>
    </row>
    <row r="187" spans="1:15" ht="16" x14ac:dyDescent="0.2">
      <c r="A187" s="18" t="s">
        <v>234</v>
      </c>
      <c r="B187" s="11">
        <v>50</v>
      </c>
      <c r="C187" s="3"/>
      <c r="D187" s="15">
        <v>70</v>
      </c>
      <c r="E187" s="15">
        <v>70</v>
      </c>
      <c r="F187" s="12">
        <v>30</v>
      </c>
      <c r="G187" s="13">
        <v>50</v>
      </c>
      <c r="H187" s="13">
        <v>50</v>
      </c>
      <c r="I187" s="13">
        <v>50</v>
      </c>
      <c r="J187" s="13">
        <v>50</v>
      </c>
      <c r="K187" s="13">
        <v>50</v>
      </c>
      <c r="L187" s="20">
        <v>40</v>
      </c>
      <c r="M187" s="13">
        <v>50</v>
      </c>
      <c r="N187" s="20">
        <v>40</v>
      </c>
      <c r="O187" s="20">
        <v>40</v>
      </c>
    </row>
    <row r="188" spans="1:15" ht="16" x14ac:dyDescent="0.2">
      <c r="A188" s="18" t="s">
        <v>236</v>
      </c>
      <c r="B188" s="11">
        <v>50</v>
      </c>
      <c r="C188" s="3"/>
      <c r="D188" s="112">
        <v>40</v>
      </c>
      <c r="E188" s="160">
        <v>50</v>
      </c>
      <c r="F188" s="12">
        <v>30</v>
      </c>
      <c r="G188" s="112">
        <v>40</v>
      </c>
      <c r="H188" s="112">
        <v>40</v>
      </c>
      <c r="I188" s="160">
        <v>50</v>
      </c>
      <c r="J188" s="160">
        <v>50</v>
      </c>
      <c r="K188" s="160">
        <v>50</v>
      </c>
      <c r="L188" s="15">
        <v>90</v>
      </c>
      <c r="M188" s="160">
        <v>50</v>
      </c>
      <c r="N188" s="12">
        <v>30</v>
      </c>
      <c r="O188" s="12">
        <v>30</v>
      </c>
    </row>
    <row r="189" spans="1:15" ht="16" x14ac:dyDescent="0.2">
      <c r="A189" s="18" t="s">
        <v>237</v>
      </c>
      <c r="B189" s="11">
        <v>50</v>
      </c>
      <c r="C189" s="3"/>
      <c r="D189" s="13">
        <v>50</v>
      </c>
      <c r="E189" s="15">
        <v>70</v>
      </c>
      <c r="F189" s="12">
        <v>40</v>
      </c>
      <c r="G189" s="15">
        <v>70</v>
      </c>
      <c r="H189" s="13">
        <v>50</v>
      </c>
      <c r="I189" s="13">
        <v>50</v>
      </c>
      <c r="J189" s="12">
        <v>40</v>
      </c>
      <c r="K189" s="13">
        <v>50</v>
      </c>
      <c r="L189" s="13">
        <v>50</v>
      </c>
      <c r="M189" s="13">
        <v>50</v>
      </c>
      <c r="N189" s="12">
        <v>40</v>
      </c>
      <c r="O189" s="12">
        <v>40</v>
      </c>
    </row>
    <row r="190" spans="1:15" ht="16" x14ac:dyDescent="0.2">
      <c r="A190" s="18" t="s">
        <v>238</v>
      </c>
      <c r="B190" s="11">
        <v>50</v>
      </c>
      <c r="C190" s="3"/>
      <c r="D190" s="13">
        <v>50</v>
      </c>
      <c r="E190" s="13">
        <v>50</v>
      </c>
      <c r="F190" s="111">
        <v>70</v>
      </c>
      <c r="G190" s="20">
        <v>40</v>
      </c>
      <c r="H190" s="13">
        <v>50</v>
      </c>
      <c r="I190" s="13">
        <v>50</v>
      </c>
      <c r="J190" s="12">
        <v>30</v>
      </c>
      <c r="K190" s="111">
        <v>70</v>
      </c>
      <c r="L190" s="20">
        <v>40</v>
      </c>
      <c r="M190" s="15">
        <v>90</v>
      </c>
      <c r="N190" s="20">
        <v>40</v>
      </c>
      <c r="O190" s="20">
        <v>40</v>
      </c>
    </row>
    <row r="191" spans="1:15" ht="16" x14ac:dyDescent="0.2">
      <c r="A191" s="10" t="s">
        <v>239</v>
      </c>
      <c r="B191" s="11">
        <v>50</v>
      </c>
      <c r="C191" s="3"/>
      <c r="D191" s="12">
        <v>40</v>
      </c>
      <c r="E191" s="12">
        <v>40</v>
      </c>
      <c r="F191" s="15">
        <v>70</v>
      </c>
      <c r="G191" s="15">
        <v>70</v>
      </c>
      <c r="H191" s="15">
        <v>70</v>
      </c>
      <c r="I191" s="13">
        <v>50</v>
      </c>
      <c r="J191" s="12">
        <v>40</v>
      </c>
      <c r="K191" s="15">
        <v>70</v>
      </c>
      <c r="L191" s="13">
        <v>50</v>
      </c>
      <c r="M191" s="12">
        <v>40</v>
      </c>
      <c r="N191" s="13">
        <v>50</v>
      </c>
      <c r="O191" s="13">
        <v>50</v>
      </c>
    </row>
    <row r="192" spans="1:15" ht="16" x14ac:dyDescent="0.2">
      <c r="A192" s="10" t="s">
        <v>240</v>
      </c>
      <c r="B192" s="11">
        <v>50</v>
      </c>
      <c r="C192" s="3"/>
      <c r="D192" s="12">
        <v>40</v>
      </c>
      <c r="E192" s="110">
        <v>50</v>
      </c>
      <c r="F192" s="12">
        <v>40</v>
      </c>
      <c r="G192" s="15">
        <v>70</v>
      </c>
      <c r="H192" s="15">
        <v>70</v>
      </c>
      <c r="I192" s="15">
        <v>70</v>
      </c>
      <c r="J192" s="15">
        <v>70</v>
      </c>
      <c r="K192" s="15">
        <v>70</v>
      </c>
      <c r="L192" s="110">
        <v>50</v>
      </c>
      <c r="M192" s="15">
        <v>70</v>
      </c>
      <c r="N192" s="15">
        <v>70</v>
      </c>
      <c r="O192" s="15">
        <v>70</v>
      </c>
    </row>
    <row r="193" spans="1:15" ht="16" x14ac:dyDescent="0.2">
      <c r="A193" s="10" t="s">
        <v>241</v>
      </c>
      <c r="B193" s="11">
        <v>50</v>
      </c>
      <c r="C193" s="3"/>
      <c r="D193" s="15">
        <v>70</v>
      </c>
      <c r="E193" s="124">
        <v>50</v>
      </c>
      <c r="F193" s="124">
        <v>50</v>
      </c>
      <c r="G193" s="15">
        <v>70</v>
      </c>
      <c r="H193" s="124">
        <v>50</v>
      </c>
      <c r="I193" s="149">
        <v>40</v>
      </c>
      <c r="J193" s="149">
        <v>40</v>
      </c>
      <c r="K193" s="124">
        <v>50</v>
      </c>
      <c r="L193" s="149">
        <v>40</v>
      </c>
      <c r="M193" s="12">
        <v>20</v>
      </c>
      <c r="N193" s="12">
        <v>20</v>
      </c>
      <c r="O193" s="12">
        <v>20</v>
      </c>
    </row>
    <row r="194" spans="1:15" ht="16" x14ac:dyDescent="0.2">
      <c r="A194" s="10" t="s">
        <v>242</v>
      </c>
      <c r="B194" s="11">
        <v>50</v>
      </c>
      <c r="C194" s="3"/>
      <c r="D194" s="15">
        <v>70</v>
      </c>
      <c r="E194" s="124">
        <v>50</v>
      </c>
      <c r="F194" s="124">
        <v>50</v>
      </c>
      <c r="G194" s="15">
        <v>70</v>
      </c>
      <c r="H194" s="124">
        <v>50</v>
      </c>
      <c r="I194" s="149">
        <v>40</v>
      </c>
      <c r="J194" s="149">
        <v>40</v>
      </c>
      <c r="K194" s="124">
        <v>50</v>
      </c>
      <c r="L194" s="149">
        <v>40</v>
      </c>
      <c r="M194" s="12">
        <v>20</v>
      </c>
      <c r="N194" s="12">
        <v>20</v>
      </c>
      <c r="O194" s="12">
        <v>20</v>
      </c>
    </row>
    <row r="195" spans="1:15" ht="16" x14ac:dyDescent="0.2">
      <c r="A195" s="144" t="s">
        <v>243</v>
      </c>
      <c r="B195" s="11">
        <v>50</v>
      </c>
      <c r="C195" s="3"/>
      <c r="D195" s="20">
        <v>40</v>
      </c>
      <c r="E195" s="111">
        <v>70</v>
      </c>
      <c r="F195" s="13">
        <v>50</v>
      </c>
      <c r="G195" s="13">
        <v>50</v>
      </c>
      <c r="H195" s="12">
        <v>30</v>
      </c>
      <c r="I195" s="12">
        <v>30</v>
      </c>
      <c r="J195" s="12">
        <v>30</v>
      </c>
      <c r="K195" s="13">
        <v>50</v>
      </c>
      <c r="L195" s="111">
        <v>70</v>
      </c>
      <c r="M195" s="111">
        <v>70</v>
      </c>
      <c r="N195" s="15">
        <v>90</v>
      </c>
      <c r="O195" s="15">
        <v>90</v>
      </c>
    </row>
    <row r="196" spans="1:15" ht="16" x14ac:dyDescent="0.2">
      <c r="A196" s="10" t="s">
        <v>244</v>
      </c>
      <c r="B196" s="11">
        <v>50</v>
      </c>
      <c r="C196" s="3"/>
      <c r="D196" s="20">
        <v>40</v>
      </c>
      <c r="E196" s="20">
        <v>40</v>
      </c>
      <c r="F196" s="13">
        <v>50</v>
      </c>
      <c r="G196" s="15">
        <v>70</v>
      </c>
      <c r="H196" s="15">
        <v>70</v>
      </c>
      <c r="I196" s="13">
        <v>50</v>
      </c>
      <c r="J196" s="13">
        <v>50</v>
      </c>
      <c r="K196" s="13">
        <v>50</v>
      </c>
      <c r="L196" s="13">
        <v>50</v>
      </c>
      <c r="M196" s="15">
        <v>70</v>
      </c>
      <c r="N196" s="12">
        <v>30</v>
      </c>
      <c r="O196" s="12">
        <v>30</v>
      </c>
    </row>
    <row r="197" spans="1:15" ht="16" x14ac:dyDescent="0.2">
      <c r="A197" s="10" t="s">
        <v>245</v>
      </c>
      <c r="B197" s="11">
        <v>50</v>
      </c>
      <c r="C197" s="3"/>
      <c r="D197" s="102">
        <v>30</v>
      </c>
      <c r="E197" s="149">
        <v>40</v>
      </c>
      <c r="F197" s="14">
        <v>50</v>
      </c>
      <c r="G197" s="161">
        <v>90</v>
      </c>
      <c r="H197" s="15">
        <v>140</v>
      </c>
      <c r="I197" s="102">
        <v>30</v>
      </c>
      <c r="J197" s="19">
        <v>70</v>
      </c>
      <c r="K197" s="102">
        <v>30</v>
      </c>
      <c r="L197" s="12">
        <v>20</v>
      </c>
      <c r="M197" s="12">
        <v>20</v>
      </c>
      <c r="N197" s="161">
        <v>90</v>
      </c>
      <c r="O197" s="161">
        <v>90</v>
      </c>
    </row>
    <row r="198" spans="1:15" ht="16" x14ac:dyDescent="0.2">
      <c r="A198" s="10" t="s">
        <v>248</v>
      </c>
      <c r="B198" s="11">
        <v>50</v>
      </c>
      <c r="C198" s="3"/>
      <c r="D198" s="13">
        <v>50</v>
      </c>
      <c r="E198" s="15">
        <v>70</v>
      </c>
      <c r="F198" s="13">
        <v>50</v>
      </c>
      <c r="G198" s="13">
        <v>50</v>
      </c>
      <c r="H198" s="13">
        <v>50</v>
      </c>
      <c r="I198" s="13">
        <v>50</v>
      </c>
      <c r="J198" s="13">
        <v>50</v>
      </c>
      <c r="K198" s="112">
        <v>40</v>
      </c>
      <c r="L198" s="110">
        <v>30</v>
      </c>
      <c r="M198" s="12">
        <v>20</v>
      </c>
      <c r="N198" s="12">
        <v>20</v>
      </c>
      <c r="O198" s="12">
        <v>20</v>
      </c>
    </row>
    <row r="199" spans="1:15" ht="16" x14ac:dyDescent="0.2">
      <c r="A199" s="10" t="s">
        <v>250</v>
      </c>
      <c r="B199" s="11">
        <v>50</v>
      </c>
      <c r="C199" s="3"/>
      <c r="D199" s="24">
        <v>50</v>
      </c>
      <c r="E199" s="25">
        <v>40</v>
      </c>
      <c r="F199" s="24">
        <v>50</v>
      </c>
      <c r="G199" s="25">
        <v>40</v>
      </c>
      <c r="H199" s="15">
        <v>70</v>
      </c>
      <c r="I199" s="24">
        <v>50</v>
      </c>
      <c r="J199" s="15">
        <v>70</v>
      </c>
      <c r="K199" s="24">
        <v>50</v>
      </c>
      <c r="L199" s="15">
        <v>70</v>
      </c>
      <c r="M199" s="24">
        <v>50</v>
      </c>
      <c r="N199" s="12">
        <v>30</v>
      </c>
      <c r="O199" s="12">
        <v>30</v>
      </c>
    </row>
    <row r="200" spans="1:15" ht="16" x14ac:dyDescent="0.2">
      <c r="A200" s="10" t="s">
        <v>253</v>
      </c>
      <c r="B200" s="11">
        <v>50</v>
      </c>
      <c r="C200" s="3"/>
      <c r="D200" s="24">
        <v>50</v>
      </c>
      <c r="E200" s="15">
        <v>70</v>
      </c>
      <c r="F200" s="24">
        <v>50</v>
      </c>
      <c r="G200" s="24">
        <v>50</v>
      </c>
      <c r="H200" s="15">
        <v>70</v>
      </c>
      <c r="I200" s="24">
        <v>50</v>
      </c>
      <c r="J200" s="12">
        <v>30</v>
      </c>
      <c r="K200" s="25">
        <v>40</v>
      </c>
      <c r="L200" s="25">
        <v>40</v>
      </c>
      <c r="M200" s="24">
        <v>50</v>
      </c>
      <c r="N200" s="12">
        <v>30</v>
      </c>
      <c r="O200" s="12">
        <v>30</v>
      </c>
    </row>
    <row r="201" spans="1:15" ht="16" x14ac:dyDescent="0.2">
      <c r="A201" s="10" t="s">
        <v>254</v>
      </c>
      <c r="B201" s="11">
        <v>40</v>
      </c>
      <c r="C201" s="3"/>
      <c r="D201" s="112">
        <v>30</v>
      </c>
      <c r="E201" s="112">
        <v>30</v>
      </c>
      <c r="F201" s="21">
        <v>70</v>
      </c>
      <c r="G201" s="118">
        <v>40</v>
      </c>
      <c r="H201" s="124">
        <v>50</v>
      </c>
      <c r="I201" s="124">
        <v>50</v>
      </c>
      <c r="J201" s="12">
        <v>20</v>
      </c>
      <c r="K201" s="112">
        <v>30</v>
      </c>
      <c r="L201" s="118">
        <v>40</v>
      </c>
      <c r="M201" s="15">
        <v>110</v>
      </c>
      <c r="N201" s="12">
        <v>20</v>
      </c>
      <c r="O201" s="12">
        <v>20</v>
      </c>
    </row>
    <row r="202" spans="1:15" ht="16" x14ac:dyDescent="0.2">
      <c r="A202" s="10" t="s">
        <v>569</v>
      </c>
      <c r="B202" s="123">
        <v>40</v>
      </c>
      <c r="C202" s="3"/>
      <c r="D202" s="123">
        <v>60</v>
      </c>
      <c r="E202" s="123">
        <v>30</v>
      </c>
      <c r="F202" s="123">
        <v>40</v>
      </c>
      <c r="G202" s="123">
        <v>30</v>
      </c>
      <c r="H202" s="123">
        <v>50</v>
      </c>
      <c r="I202" s="123">
        <v>70</v>
      </c>
      <c r="J202" s="123">
        <v>40</v>
      </c>
      <c r="K202" s="123">
        <v>30</v>
      </c>
      <c r="L202" s="123">
        <v>30</v>
      </c>
      <c r="M202" s="123">
        <v>30</v>
      </c>
      <c r="N202" s="123">
        <v>80</v>
      </c>
      <c r="O202" s="123">
        <v>30</v>
      </c>
    </row>
    <row r="203" spans="1:15" ht="16" x14ac:dyDescent="0.2">
      <c r="A203" s="18" t="s">
        <v>586</v>
      </c>
      <c r="B203" s="11">
        <v>40</v>
      </c>
      <c r="C203" s="3"/>
      <c r="D203" s="12">
        <v>30</v>
      </c>
      <c r="E203" s="15">
        <v>70</v>
      </c>
      <c r="F203" s="54">
        <v>50</v>
      </c>
      <c r="G203" s="13">
        <v>40</v>
      </c>
      <c r="H203" s="13">
        <v>40</v>
      </c>
      <c r="I203" s="13">
        <v>40</v>
      </c>
      <c r="J203" s="13">
        <v>40</v>
      </c>
      <c r="K203" s="13">
        <v>40</v>
      </c>
      <c r="L203" s="13">
        <v>40</v>
      </c>
      <c r="M203" s="12">
        <v>30</v>
      </c>
      <c r="N203" s="12">
        <v>30</v>
      </c>
      <c r="O203" s="12">
        <v>30</v>
      </c>
    </row>
    <row r="204" spans="1:15" ht="16" x14ac:dyDescent="0.2">
      <c r="A204" s="18" t="s">
        <v>255</v>
      </c>
      <c r="B204" s="11">
        <v>40</v>
      </c>
      <c r="C204" s="3"/>
      <c r="D204" s="15">
        <v>90</v>
      </c>
      <c r="E204" s="83">
        <v>30</v>
      </c>
      <c r="F204" s="12">
        <v>10</v>
      </c>
      <c r="G204" s="12">
        <v>10</v>
      </c>
      <c r="H204" s="162">
        <v>70</v>
      </c>
      <c r="I204" s="12">
        <v>10</v>
      </c>
      <c r="J204" s="158">
        <v>50</v>
      </c>
      <c r="K204" s="112">
        <v>20</v>
      </c>
      <c r="L204" s="83">
        <v>30</v>
      </c>
      <c r="M204" s="83">
        <v>30</v>
      </c>
      <c r="N204" s="112">
        <v>20</v>
      </c>
      <c r="O204" s="112">
        <v>20</v>
      </c>
    </row>
    <row r="205" spans="1:15" ht="16" x14ac:dyDescent="0.2">
      <c r="A205" s="18" t="s">
        <v>256</v>
      </c>
      <c r="B205" s="11">
        <v>40</v>
      </c>
      <c r="C205" s="3"/>
      <c r="D205" s="15">
        <v>70</v>
      </c>
      <c r="E205" s="20">
        <v>40</v>
      </c>
      <c r="F205" s="12">
        <v>30</v>
      </c>
      <c r="G205" s="12">
        <v>30</v>
      </c>
      <c r="H205" s="13">
        <v>50</v>
      </c>
      <c r="I205" s="20">
        <v>40</v>
      </c>
      <c r="J205" s="13">
        <v>50</v>
      </c>
      <c r="K205" s="13">
        <v>50</v>
      </c>
      <c r="L205" s="20">
        <v>40</v>
      </c>
      <c r="M205" s="13">
        <v>50</v>
      </c>
      <c r="N205" s="13">
        <v>50</v>
      </c>
      <c r="O205" s="13">
        <v>50</v>
      </c>
    </row>
    <row r="206" spans="1:15" ht="16" x14ac:dyDescent="0.2">
      <c r="A206" s="18" t="s">
        <v>257</v>
      </c>
      <c r="B206" s="11">
        <v>40</v>
      </c>
      <c r="C206" s="3"/>
      <c r="D206" s="111">
        <v>50</v>
      </c>
      <c r="E206" s="12">
        <v>20</v>
      </c>
      <c r="F206" s="13">
        <v>30</v>
      </c>
      <c r="G206" s="78">
        <v>40</v>
      </c>
      <c r="H206" s="12">
        <v>20</v>
      </c>
      <c r="I206" s="13">
        <v>30</v>
      </c>
      <c r="J206" s="13">
        <v>30</v>
      </c>
      <c r="K206" s="12">
        <v>20</v>
      </c>
      <c r="L206" s="78">
        <v>40</v>
      </c>
      <c r="M206" s="15">
        <v>70</v>
      </c>
      <c r="N206" s="12">
        <v>20</v>
      </c>
      <c r="O206" s="12">
        <v>20</v>
      </c>
    </row>
    <row r="207" spans="1:15" ht="16" x14ac:dyDescent="0.2">
      <c r="A207" s="10" t="s">
        <v>258</v>
      </c>
      <c r="B207" s="11">
        <v>40</v>
      </c>
      <c r="C207" s="3"/>
      <c r="D207" s="13">
        <v>30</v>
      </c>
      <c r="E207" s="13">
        <v>30</v>
      </c>
      <c r="F207" s="20">
        <v>20</v>
      </c>
      <c r="G207" s="20">
        <v>20</v>
      </c>
      <c r="H207" s="12">
        <v>10</v>
      </c>
      <c r="I207" s="14">
        <v>40</v>
      </c>
      <c r="J207" s="20">
        <v>20</v>
      </c>
      <c r="K207" s="160">
        <v>50</v>
      </c>
      <c r="L207" s="15">
        <v>210</v>
      </c>
      <c r="M207" s="14">
        <v>40</v>
      </c>
      <c r="N207" s="13">
        <v>30</v>
      </c>
      <c r="O207" s="13">
        <v>30</v>
      </c>
    </row>
    <row r="208" spans="1:15" ht="16" x14ac:dyDescent="0.2">
      <c r="A208" s="10" t="s">
        <v>259</v>
      </c>
      <c r="B208" s="11">
        <v>40</v>
      </c>
      <c r="C208" s="3"/>
      <c r="D208" s="15">
        <v>90</v>
      </c>
      <c r="E208" s="113">
        <v>40</v>
      </c>
      <c r="F208" s="113">
        <v>40</v>
      </c>
      <c r="G208" s="53">
        <v>50</v>
      </c>
      <c r="H208" s="113">
        <v>40</v>
      </c>
      <c r="I208" s="53">
        <v>50</v>
      </c>
      <c r="J208" s="149">
        <v>30</v>
      </c>
      <c r="K208" s="149">
        <v>30</v>
      </c>
      <c r="L208" s="149">
        <v>30</v>
      </c>
      <c r="M208" s="102">
        <v>20</v>
      </c>
      <c r="N208" s="12">
        <v>10</v>
      </c>
      <c r="O208" s="12">
        <v>10</v>
      </c>
    </row>
    <row r="209" spans="1:15" ht="16" x14ac:dyDescent="0.2">
      <c r="A209" s="127" t="s">
        <v>261</v>
      </c>
      <c r="B209" s="90">
        <v>40</v>
      </c>
      <c r="C209" s="3"/>
      <c r="D209" s="128">
        <v>40</v>
      </c>
      <c r="E209" s="163">
        <v>50</v>
      </c>
      <c r="F209" s="128">
        <v>40</v>
      </c>
      <c r="G209" s="164">
        <v>30</v>
      </c>
      <c r="H209" s="164">
        <v>30</v>
      </c>
      <c r="I209" s="121">
        <v>20</v>
      </c>
      <c r="J209" s="164">
        <v>30</v>
      </c>
      <c r="K209" s="128">
        <v>40</v>
      </c>
      <c r="L209" s="128">
        <v>40</v>
      </c>
      <c r="M209" s="91">
        <v>70</v>
      </c>
      <c r="N209" s="163">
        <v>50</v>
      </c>
      <c r="O209" s="163">
        <v>50</v>
      </c>
    </row>
    <row r="210" spans="1:15" ht="16" x14ac:dyDescent="0.2">
      <c r="A210" s="127" t="s">
        <v>262</v>
      </c>
      <c r="B210" s="90">
        <v>40</v>
      </c>
      <c r="C210" s="3"/>
      <c r="D210" s="128">
        <v>40</v>
      </c>
      <c r="E210" s="163">
        <v>50</v>
      </c>
      <c r="F210" s="128">
        <v>40</v>
      </c>
      <c r="G210" s="164">
        <v>30</v>
      </c>
      <c r="H210" s="164">
        <v>30</v>
      </c>
      <c r="I210" s="121">
        <v>20</v>
      </c>
      <c r="J210" s="164">
        <v>30</v>
      </c>
      <c r="K210" s="128">
        <v>40</v>
      </c>
      <c r="L210" s="128">
        <v>40</v>
      </c>
      <c r="M210" s="91">
        <v>70</v>
      </c>
      <c r="N210" s="163">
        <v>50</v>
      </c>
      <c r="O210" s="163">
        <v>50</v>
      </c>
    </row>
    <row r="211" spans="1:15" ht="16" x14ac:dyDescent="0.2">
      <c r="A211" s="10" t="s">
        <v>263</v>
      </c>
      <c r="B211" s="11">
        <v>40</v>
      </c>
      <c r="C211" s="3"/>
      <c r="D211" s="12">
        <v>10</v>
      </c>
      <c r="E211" s="110">
        <v>20</v>
      </c>
      <c r="F211" s="112">
        <v>30</v>
      </c>
      <c r="G211" s="13">
        <v>40</v>
      </c>
      <c r="H211" s="13">
        <v>40</v>
      </c>
      <c r="I211" s="13">
        <v>40</v>
      </c>
      <c r="J211" s="13">
        <v>40</v>
      </c>
      <c r="K211" s="15">
        <v>90</v>
      </c>
      <c r="L211" s="15">
        <v>90</v>
      </c>
      <c r="M211" s="15">
        <v>90</v>
      </c>
      <c r="N211" s="13">
        <v>40</v>
      </c>
      <c r="O211" s="13">
        <v>40</v>
      </c>
    </row>
    <row r="212" spans="1:15" ht="16" x14ac:dyDescent="0.2">
      <c r="A212" s="10" t="s">
        <v>264</v>
      </c>
      <c r="B212" s="11">
        <v>40</v>
      </c>
      <c r="C212" s="3"/>
      <c r="D212" s="119">
        <v>40</v>
      </c>
      <c r="E212" s="54">
        <v>50</v>
      </c>
      <c r="F212" s="119">
        <v>40</v>
      </c>
      <c r="G212" s="15">
        <v>90</v>
      </c>
      <c r="H212" s="13">
        <v>30</v>
      </c>
      <c r="I212" s="12">
        <v>20</v>
      </c>
      <c r="J212" s="13">
        <v>30</v>
      </c>
      <c r="K212" s="12">
        <v>20</v>
      </c>
      <c r="L212" s="12">
        <v>20</v>
      </c>
      <c r="M212" s="12">
        <v>20</v>
      </c>
      <c r="N212" s="13">
        <v>30</v>
      </c>
      <c r="O212" s="13">
        <v>30</v>
      </c>
    </row>
    <row r="213" spans="1:15" ht="16" x14ac:dyDescent="0.2">
      <c r="A213" s="18" t="s">
        <v>570</v>
      </c>
      <c r="B213" s="123">
        <v>40</v>
      </c>
      <c r="C213" s="3"/>
      <c r="D213" s="123">
        <v>60</v>
      </c>
      <c r="E213" s="123">
        <v>40</v>
      </c>
      <c r="F213" s="123">
        <v>30</v>
      </c>
      <c r="G213" s="123">
        <v>30</v>
      </c>
      <c r="H213" s="123">
        <v>60</v>
      </c>
      <c r="I213" s="123">
        <v>60</v>
      </c>
      <c r="J213" s="123">
        <v>40</v>
      </c>
      <c r="K213" s="123">
        <v>40</v>
      </c>
      <c r="L213" s="123">
        <v>70</v>
      </c>
      <c r="M213" s="123">
        <v>50</v>
      </c>
      <c r="N213" s="123">
        <v>30</v>
      </c>
      <c r="O213" s="123">
        <v>60</v>
      </c>
    </row>
    <row r="214" spans="1:15" ht="16" x14ac:dyDescent="0.2">
      <c r="A214" s="18" t="s">
        <v>267</v>
      </c>
      <c r="B214" s="11">
        <v>40</v>
      </c>
      <c r="C214" s="3"/>
      <c r="D214" s="12">
        <v>20</v>
      </c>
      <c r="E214" s="20">
        <v>30</v>
      </c>
      <c r="F214" s="15">
        <v>50</v>
      </c>
      <c r="G214" s="15">
        <v>50</v>
      </c>
      <c r="H214" s="15">
        <v>50</v>
      </c>
      <c r="I214" s="15">
        <v>50</v>
      </c>
      <c r="J214" s="13">
        <v>40</v>
      </c>
      <c r="K214" s="20">
        <v>30</v>
      </c>
      <c r="L214" s="20">
        <v>30</v>
      </c>
      <c r="M214" s="12">
        <v>20</v>
      </c>
      <c r="N214" s="13">
        <v>40</v>
      </c>
      <c r="O214" s="13">
        <v>40</v>
      </c>
    </row>
    <row r="215" spans="1:15" ht="16" x14ac:dyDescent="0.2">
      <c r="A215" s="10" t="s">
        <v>268</v>
      </c>
      <c r="B215" s="11">
        <v>40</v>
      </c>
      <c r="C215" s="3"/>
      <c r="D215" s="12">
        <v>20</v>
      </c>
      <c r="E215" s="13">
        <v>30</v>
      </c>
      <c r="F215" s="13">
        <v>30</v>
      </c>
      <c r="G215" s="13">
        <v>30</v>
      </c>
      <c r="H215" s="13">
        <v>30</v>
      </c>
      <c r="I215" s="13">
        <v>30</v>
      </c>
      <c r="J215" s="12">
        <v>20</v>
      </c>
      <c r="K215" s="13">
        <v>30</v>
      </c>
      <c r="L215" s="13">
        <v>30</v>
      </c>
      <c r="M215" s="15">
        <v>70</v>
      </c>
      <c r="N215" s="111">
        <v>50</v>
      </c>
      <c r="O215" s="111">
        <v>50</v>
      </c>
    </row>
    <row r="216" spans="1:15" ht="16" x14ac:dyDescent="0.2">
      <c r="A216" s="10" t="s">
        <v>269</v>
      </c>
      <c r="B216" s="11">
        <v>40</v>
      </c>
      <c r="C216" s="3"/>
      <c r="D216" s="150">
        <v>40</v>
      </c>
      <c r="E216" s="150">
        <v>40</v>
      </c>
      <c r="F216" s="13">
        <v>30</v>
      </c>
      <c r="G216" s="13">
        <v>30</v>
      </c>
      <c r="H216" s="12">
        <v>10</v>
      </c>
      <c r="I216" s="13">
        <v>30</v>
      </c>
      <c r="J216" s="13">
        <v>30</v>
      </c>
      <c r="K216" s="150">
        <v>40</v>
      </c>
      <c r="L216" s="15">
        <v>110</v>
      </c>
      <c r="M216" s="78">
        <v>50</v>
      </c>
      <c r="N216" s="12">
        <v>10</v>
      </c>
      <c r="O216" s="12">
        <v>10</v>
      </c>
    </row>
    <row r="217" spans="1:15" ht="16" x14ac:dyDescent="0.2">
      <c r="A217" s="10" t="s">
        <v>270</v>
      </c>
      <c r="B217" s="11">
        <v>40</v>
      </c>
      <c r="C217" s="3"/>
      <c r="D217" s="12">
        <v>10</v>
      </c>
      <c r="E217" s="12">
        <v>10</v>
      </c>
      <c r="F217" s="12">
        <v>10</v>
      </c>
      <c r="G217" s="12">
        <v>10</v>
      </c>
      <c r="H217" s="27">
        <v>30</v>
      </c>
      <c r="I217" s="165">
        <v>20</v>
      </c>
      <c r="J217" s="165">
        <v>20</v>
      </c>
      <c r="K217" s="27">
        <v>30</v>
      </c>
      <c r="L217" s="12">
        <v>10</v>
      </c>
      <c r="M217" s="12">
        <v>10</v>
      </c>
      <c r="N217" s="15">
        <v>390</v>
      </c>
      <c r="O217" s="15">
        <v>390</v>
      </c>
    </row>
    <row r="218" spans="1:15" ht="16" x14ac:dyDescent="0.2">
      <c r="A218" s="18" t="s">
        <v>271</v>
      </c>
      <c r="B218" s="11">
        <v>40</v>
      </c>
      <c r="C218" s="3"/>
      <c r="D218" s="20">
        <v>30</v>
      </c>
      <c r="E218" s="15">
        <v>50</v>
      </c>
      <c r="F218" s="13">
        <v>40</v>
      </c>
      <c r="G218" s="13">
        <v>40</v>
      </c>
      <c r="H218" s="12">
        <v>20</v>
      </c>
      <c r="I218" s="15">
        <v>50</v>
      </c>
      <c r="J218" s="13">
        <v>40</v>
      </c>
      <c r="K218" s="13">
        <v>40</v>
      </c>
      <c r="L218" s="13">
        <v>40</v>
      </c>
      <c r="M218" s="13">
        <v>40</v>
      </c>
      <c r="N218" s="20">
        <v>30</v>
      </c>
      <c r="O218" s="20">
        <v>30</v>
      </c>
    </row>
    <row r="219" spans="1:15" ht="16" x14ac:dyDescent="0.2">
      <c r="A219" s="18" t="s">
        <v>273</v>
      </c>
      <c r="B219" s="11">
        <v>40</v>
      </c>
      <c r="C219" s="3"/>
      <c r="D219" s="15">
        <v>50</v>
      </c>
      <c r="E219" s="13">
        <v>40</v>
      </c>
      <c r="F219" s="15">
        <v>50</v>
      </c>
      <c r="G219" s="15">
        <v>50</v>
      </c>
      <c r="H219" s="13">
        <v>40</v>
      </c>
      <c r="I219" s="15">
        <v>50</v>
      </c>
      <c r="J219" s="13">
        <v>40</v>
      </c>
      <c r="K219" s="12">
        <v>20</v>
      </c>
      <c r="L219" s="12">
        <v>20</v>
      </c>
      <c r="M219" s="20">
        <v>30</v>
      </c>
      <c r="N219" s="20">
        <v>30</v>
      </c>
      <c r="O219" s="20">
        <v>30</v>
      </c>
    </row>
    <row r="220" spans="1:15" ht="16" x14ac:dyDescent="0.2">
      <c r="A220" s="10" t="s">
        <v>274</v>
      </c>
      <c r="B220" s="11">
        <v>40</v>
      </c>
      <c r="C220" s="3"/>
      <c r="D220" s="20">
        <v>20</v>
      </c>
      <c r="E220" s="20">
        <v>20</v>
      </c>
      <c r="F220" s="12">
        <v>10</v>
      </c>
      <c r="G220" s="15">
        <v>50</v>
      </c>
      <c r="H220" s="15">
        <v>50</v>
      </c>
      <c r="I220" s="15">
        <v>50</v>
      </c>
      <c r="J220" s="15">
        <v>50</v>
      </c>
      <c r="K220" s="111">
        <v>40</v>
      </c>
      <c r="L220" s="15">
        <v>50</v>
      </c>
      <c r="M220" s="20">
        <v>20</v>
      </c>
      <c r="N220" s="12">
        <v>10</v>
      </c>
      <c r="O220" s="12">
        <v>10</v>
      </c>
    </row>
    <row r="221" spans="1:15" ht="16" x14ac:dyDescent="0.2">
      <c r="A221" s="10" t="s">
        <v>275</v>
      </c>
      <c r="B221" s="11">
        <v>40</v>
      </c>
      <c r="C221" s="3"/>
      <c r="D221" s="12">
        <v>10</v>
      </c>
      <c r="E221" s="103">
        <v>50</v>
      </c>
      <c r="F221" s="115">
        <v>40</v>
      </c>
      <c r="G221" s="115">
        <v>40</v>
      </c>
      <c r="H221" s="149">
        <v>30</v>
      </c>
      <c r="I221" s="15">
        <v>70</v>
      </c>
      <c r="J221" s="115">
        <v>40</v>
      </c>
      <c r="K221" s="15">
        <v>70</v>
      </c>
      <c r="L221" s="149">
        <v>30</v>
      </c>
      <c r="M221" s="149">
        <v>30</v>
      </c>
      <c r="N221" s="149">
        <v>30</v>
      </c>
      <c r="O221" s="149">
        <v>30</v>
      </c>
    </row>
    <row r="222" spans="1:15" ht="16" x14ac:dyDescent="0.2">
      <c r="A222" s="10" t="s">
        <v>276</v>
      </c>
      <c r="B222" s="11">
        <v>40</v>
      </c>
      <c r="C222" s="3"/>
      <c r="D222" s="13">
        <v>40</v>
      </c>
      <c r="E222" s="13">
        <v>40</v>
      </c>
      <c r="F222" s="20">
        <v>30</v>
      </c>
      <c r="G222" s="13">
        <v>40</v>
      </c>
      <c r="H222" s="13">
        <v>40</v>
      </c>
      <c r="I222" s="13">
        <v>40</v>
      </c>
      <c r="J222" s="13">
        <v>40</v>
      </c>
      <c r="K222" s="15">
        <v>50</v>
      </c>
      <c r="L222" s="20">
        <v>30</v>
      </c>
      <c r="M222" s="20">
        <v>30</v>
      </c>
      <c r="N222" s="12">
        <v>20</v>
      </c>
      <c r="O222" s="12">
        <v>20</v>
      </c>
    </row>
    <row r="223" spans="1:15" ht="16" x14ac:dyDescent="0.2">
      <c r="A223" s="10" t="s">
        <v>281</v>
      </c>
      <c r="B223" s="11">
        <v>40</v>
      </c>
      <c r="C223" s="3"/>
      <c r="D223" s="24">
        <v>30</v>
      </c>
      <c r="E223" s="133">
        <v>50</v>
      </c>
      <c r="F223" s="25">
        <v>20</v>
      </c>
      <c r="G223" s="157">
        <v>70</v>
      </c>
      <c r="H223" s="15">
        <v>110</v>
      </c>
      <c r="I223" s="157">
        <v>70</v>
      </c>
      <c r="J223" s="12">
        <v>10</v>
      </c>
      <c r="K223" s="24">
        <v>30</v>
      </c>
      <c r="L223" s="24">
        <v>30</v>
      </c>
      <c r="M223" s="12">
        <v>10</v>
      </c>
      <c r="N223" s="12">
        <v>10</v>
      </c>
      <c r="O223" s="12">
        <v>10</v>
      </c>
    </row>
    <row r="224" spans="1:15" ht="16" x14ac:dyDescent="0.2">
      <c r="A224" s="18" t="s">
        <v>282</v>
      </c>
      <c r="B224" s="11">
        <v>40</v>
      </c>
      <c r="C224" s="3"/>
      <c r="D224" s="12">
        <v>20</v>
      </c>
      <c r="E224" s="155">
        <v>40</v>
      </c>
      <c r="F224" s="15">
        <v>50</v>
      </c>
      <c r="G224" s="135">
        <v>30</v>
      </c>
      <c r="H224" s="15">
        <v>50</v>
      </c>
      <c r="I224" s="15">
        <v>50</v>
      </c>
      <c r="J224" s="15">
        <v>50</v>
      </c>
      <c r="K224" s="135">
        <v>30</v>
      </c>
      <c r="L224" s="135">
        <v>30</v>
      </c>
      <c r="M224" s="15">
        <v>50</v>
      </c>
      <c r="N224" s="12">
        <v>20</v>
      </c>
      <c r="O224" s="12">
        <v>20</v>
      </c>
    </row>
    <row r="225" spans="1:15" ht="16" x14ac:dyDescent="0.2">
      <c r="A225" s="18" t="s">
        <v>284</v>
      </c>
      <c r="B225" s="11">
        <v>40</v>
      </c>
      <c r="C225" s="3"/>
      <c r="D225" s="15">
        <v>50</v>
      </c>
      <c r="E225" s="155">
        <v>40</v>
      </c>
      <c r="F225" s="15">
        <v>50</v>
      </c>
      <c r="G225" s="12">
        <v>30</v>
      </c>
      <c r="H225" s="155">
        <v>40</v>
      </c>
      <c r="I225" s="15">
        <v>50</v>
      </c>
      <c r="J225" s="12">
        <v>30</v>
      </c>
      <c r="K225" s="12">
        <v>30</v>
      </c>
      <c r="L225" s="155">
        <v>40</v>
      </c>
      <c r="M225" s="12">
        <v>30</v>
      </c>
      <c r="N225" s="12">
        <v>30</v>
      </c>
      <c r="O225" s="12">
        <v>30</v>
      </c>
    </row>
    <row r="226" spans="1:15" ht="16" x14ac:dyDescent="0.2">
      <c r="A226" s="10" t="s">
        <v>285</v>
      </c>
      <c r="B226" s="11">
        <v>30</v>
      </c>
      <c r="C226" s="3"/>
      <c r="D226" s="15">
        <v>50</v>
      </c>
      <c r="E226" s="20">
        <v>20</v>
      </c>
      <c r="F226" s="13">
        <v>30</v>
      </c>
      <c r="G226" s="13">
        <v>30</v>
      </c>
      <c r="H226" s="20">
        <v>20</v>
      </c>
      <c r="I226" s="15">
        <v>50</v>
      </c>
      <c r="J226" s="111">
        <v>40</v>
      </c>
      <c r="K226" s="20">
        <v>20</v>
      </c>
      <c r="L226" s="111">
        <v>40</v>
      </c>
      <c r="M226" s="12">
        <v>10</v>
      </c>
      <c r="N226" s="13">
        <v>30</v>
      </c>
      <c r="O226" s="13">
        <v>30</v>
      </c>
    </row>
    <row r="227" spans="1:15" ht="16" x14ac:dyDescent="0.2">
      <c r="A227" s="10" t="s">
        <v>286</v>
      </c>
      <c r="B227" s="11">
        <v>30</v>
      </c>
      <c r="C227" s="3"/>
      <c r="D227" s="13">
        <v>20</v>
      </c>
      <c r="E227" s="13">
        <v>20</v>
      </c>
      <c r="F227" s="13">
        <v>20</v>
      </c>
      <c r="G227" s="130">
        <v>40</v>
      </c>
      <c r="H227" s="15">
        <v>70</v>
      </c>
      <c r="I227" s="124">
        <v>30</v>
      </c>
      <c r="J227" s="13">
        <v>20</v>
      </c>
      <c r="K227" s="145">
        <v>50</v>
      </c>
      <c r="L227" s="12">
        <v>10</v>
      </c>
      <c r="M227" s="130">
        <v>40</v>
      </c>
      <c r="N227" s="12">
        <v>10</v>
      </c>
      <c r="O227" s="12">
        <v>10</v>
      </c>
    </row>
    <row r="228" spans="1:15" ht="16" x14ac:dyDescent="0.2">
      <c r="A228" s="10" t="s">
        <v>287</v>
      </c>
      <c r="B228" s="11">
        <v>30</v>
      </c>
      <c r="C228" s="3"/>
      <c r="D228" s="54">
        <v>40</v>
      </c>
      <c r="E228" s="54">
        <v>40</v>
      </c>
      <c r="F228" s="12">
        <v>20</v>
      </c>
      <c r="G228" s="112">
        <v>30</v>
      </c>
      <c r="H228" s="12">
        <v>20</v>
      </c>
      <c r="I228" s="112">
        <v>30</v>
      </c>
      <c r="J228" s="12">
        <v>20</v>
      </c>
      <c r="K228" s="12">
        <v>20</v>
      </c>
      <c r="L228" s="54">
        <v>40</v>
      </c>
      <c r="M228" s="54">
        <v>40</v>
      </c>
      <c r="N228" s="15">
        <v>50</v>
      </c>
      <c r="O228" s="15">
        <v>50</v>
      </c>
    </row>
    <row r="229" spans="1:15" ht="16" x14ac:dyDescent="0.2">
      <c r="A229" s="10" t="s">
        <v>288</v>
      </c>
      <c r="B229" s="11">
        <v>30</v>
      </c>
      <c r="C229" s="3"/>
      <c r="D229" s="13">
        <v>20</v>
      </c>
      <c r="E229" s="54">
        <v>30</v>
      </c>
      <c r="F229" s="12">
        <v>10</v>
      </c>
      <c r="G229" s="54">
        <v>30</v>
      </c>
      <c r="H229" s="140">
        <v>40</v>
      </c>
      <c r="I229" s="15">
        <v>50</v>
      </c>
      <c r="J229" s="140">
        <v>40</v>
      </c>
      <c r="K229" s="13">
        <v>20</v>
      </c>
      <c r="L229" s="12">
        <v>10</v>
      </c>
      <c r="M229" s="12">
        <v>10</v>
      </c>
      <c r="N229" s="13">
        <v>20</v>
      </c>
      <c r="O229" s="13">
        <v>20</v>
      </c>
    </row>
    <row r="230" spans="1:15" ht="16" x14ac:dyDescent="0.2">
      <c r="A230" s="10" t="s">
        <v>289</v>
      </c>
      <c r="B230" s="11">
        <v>30</v>
      </c>
      <c r="C230" s="3"/>
      <c r="D230" s="12">
        <v>20</v>
      </c>
      <c r="E230" s="12">
        <v>20</v>
      </c>
      <c r="F230" s="111">
        <v>30</v>
      </c>
      <c r="G230" s="12">
        <v>20</v>
      </c>
      <c r="H230" s="15">
        <v>40</v>
      </c>
      <c r="I230" s="111">
        <v>30</v>
      </c>
      <c r="J230" s="12">
        <v>20</v>
      </c>
      <c r="K230" s="111">
        <v>30</v>
      </c>
      <c r="L230" s="111">
        <v>30</v>
      </c>
      <c r="M230" s="12">
        <v>20</v>
      </c>
      <c r="N230" s="12">
        <v>20</v>
      </c>
      <c r="O230" s="12">
        <v>20</v>
      </c>
    </row>
    <row r="231" spans="1:15" ht="16" x14ac:dyDescent="0.2">
      <c r="A231" s="10" t="s">
        <v>290</v>
      </c>
      <c r="B231" s="11">
        <v>30</v>
      </c>
      <c r="C231" s="3"/>
      <c r="D231" s="119">
        <v>40</v>
      </c>
      <c r="E231" s="15">
        <v>90</v>
      </c>
      <c r="F231" s="119">
        <v>40</v>
      </c>
      <c r="G231" s="13">
        <v>30</v>
      </c>
      <c r="H231" s="13">
        <v>30</v>
      </c>
      <c r="I231" s="12">
        <v>10</v>
      </c>
      <c r="J231" s="12">
        <v>10</v>
      </c>
      <c r="K231" s="12">
        <v>10</v>
      </c>
      <c r="L231" s="12">
        <v>10</v>
      </c>
      <c r="M231" s="20">
        <v>20</v>
      </c>
      <c r="N231" s="54">
        <v>50</v>
      </c>
      <c r="O231" s="54">
        <v>50</v>
      </c>
    </row>
    <row r="232" spans="1:15" ht="16" x14ac:dyDescent="0.2">
      <c r="A232" s="10" t="s">
        <v>291</v>
      </c>
      <c r="B232" s="11">
        <v>30</v>
      </c>
      <c r="C232" s="3"/>
      <c r="D232" s="13">
        <v>20</v>
      </c>
      <c r="E232" s="13">
        <v>20</v>
      </c>
      <c r="F232" s="13">
        <v>20</v>
      </c>
      <c r="G232" s="54">
        <v>30</v>
      </c>
      <c r="H232" s="13">
        <v>20</v>
      </c>
      <c r="I232" s="54">
        <v>30</v>
      </c>
      <c r="J232" s="12">
        <v>10</v>
      </c>
      <c r="K232" s="13">
        <v>20</v>
      </c>
      <c r="L232" s="15">
        <v>50</v>
      </c>
      <c r="M232" s="13">
        <v>20</v>
      </c>
      <c r="N232" s="140">
        <v>40</v>
      </c>
      <c r="O232" s="140">
        <v>40</v>
      </c>
    </row>
    <row r="233" spans="1:15" ht="16" x14ac:dyDescent="0.2">
      <c r="A233" s="10" t="s">
        <v>292</v>
      </c>
      <c r="B233" s="11">
        <v>30</v>
      </c>
      <c r="C233" s="3"/>
      <c r="D233" s="111">
        <v>30</v>
      </c>
      <c r="E233" s="15">
        <v>40</v>
      </c>
      <c r="F233" s="15">
        <v>40</v>
      </c>
      <c r="G233" s="111">
        <v>30</v>
      </c>
      <c r="H233" s="111">
        <v>30</v>
      </c>
      <c r="I233" s="12">
        <v>20</v>
      </c>
      <c r="J233" s="12">
        <v>20</v>
      </c>
      <c r="K233" s="12">
        <v>20</v>
      </c>
      <c r="L233" s="12">
        <v>20</v>
      </c>
      <c r="M233" s="12">
        <v>20</v>
      </c>
      <c r="N233" s="12">
        <v>20</v>
      </c>
      <c r="O233" s="12">
        <v>20</v>
      </c>
    </row>
    <row r="234" spans="1:15" ht="16" x14ac:dyDescent="0.2">
      <c r="A234" s="10" t="s">
        <v>293</v>
      </c>
      <c r="B234" s="11">
        <v>30</v>
      </c>
      <c r="C234" s="3"/>
      <c r="D234" s="12">
        <v>10</v>
      </c>
      <c r="E234" s="12">
        <v>10</v>
      </c>
      <c r="F234" s="113">
        <v>40</v>
      </c>
      <c r="G234" s="113">
        <v>40</v>
      </c>
      <c r="H234" s="53">
        <v>50</v>
      </c>
      <c r="I234" s="15">
        <v>90</v>
      </c>
      <c r="J234" s="53">
        <v>50</v>
      </c>
      <c r="K234" s="53">
        <v>50</v>
      </c>
      <c r="L234" s="149">
        <v>30</v>
      </c>
      <c r="M234" s="149">
        <v>30</v>
      </c>
      <c r="N234" s="12">
        <v>10</v>
      </c>
      <c r="O234" s="12">
        <v>10</v>
      </c>
    </row>
    <row r="235" spans="1:15" ht="16" x14ac:dyDescent="0.2">
      <c r="A235" s="10" t="s">
        <v>294</v>
      </c>
      <c r="B235" s="11">
        <v>30</v>
      </c>
      <c r="C235" s="3"/>
      <c r="D235" s="12">
        <v>20</v>
      </c>
      <c r="E235" s="140">
        <v>40</v>
      </c>
      <c r="F235" s="54">
        <v>30</v>
      </c>
      <c r="G235" s="12">
        <v>20</v>
      </c>
      <c r="H235" s="54">
        <v>30</v>
      </c>
      <c r="I235" s="12">
        <v>20</v>
      </c>
      <c r="J235" s="12">
        <v>20</v>
      </c>
      <c r="K235" s="54">
        <v>30</v>
      </c>
      <c r="L235" s="12">
        <v>20</v>
      </c>
      <c r="M235" s="15">
        <v>50</v>
      </c>
      <c r="N235" s="12">
        <v>20</v>
      </c>
      <c r="O235" s="12">
        <v>20</v>
      </c>
    </row>
    <row r="236" spans="1:15" ht="16" x14ac:dyDescent="0.2">
      <c r="A236" s="10" t="s">
        <v>295</v>
      </c>
      <c r="B236" s="11">
        <v>30</v>
      </c>
      <c r="C236" s="3"/>
      <c r="D236" s="124">
        <v>30</v>
      </c>
      <c r="E236" s="15">
        <v>50</v>
      </c>
      <c r="F236" s="15">
        <v>50</v>
      </c>
      <c r="G236" s="145">
        <v>40</v>
      </c>
      <c r="H236" s="145">
        <v>40</v>
      </c>
      <c r="I236" s="124">
        <v>30</v>
      </c>
      <c r="J236" s="112">
        <v>20</v>
      </c>
      <c r="K236" s="112">
        <v>20</v>
      </c>
      <c r="L236" s="12">
        <v>10</v>
      </c>
      <c r="M236" s="12">
        <v>10</v>
      </c>
      <c r="N236" s="12">
        <v>10</v>
      </c>
      <c r="O236" s="12">
        <v>10</v>
      </c>
    </row>
    <row r="237" spans="1:15" ht="16" x14ac:dyDescent="0.2">
      <c r="A237" s="10" t="s">
        <v>297</v>
      </c>
      <c r="B237" s="11">
        <v>30</v>
      </c>
      <c r="C237" s="3"/>
      <c r="D237" s="12">
        <v>20</v>
      </c>
      <c r="E237" s="15">
        <v>40</v>
      </c>
      <c r="F237" s="13">
        <v>30</v>
      </c>
      <c r="G237" s="15">
        <v>40</v>
      </c>
      <c r="H237" s="13">
        <v>30</v>
      </c>
      <c r="I237" s="13">
        <v>30</v>
      </c>
      <c r="J237" s="13">
        <v>30</v>
      </c>
      <c r="K237" s="12">
        <v>20</v>
      </c>
      <c r="L237" s="13">
        <v>30</v>
      </c>
      <c r="M237" s="13">
        <v>30</v>
      </c>
      <c r="N237" s="12">
        <v>20</v>
      </c>
      <c r="O237" s="12">
        <v>20</v>
      </c>
    </row>
    <row r="238" spans="1:15" ht="16" x14ac:dyDescent="0.2">
      <c r="A238" s="10" t="s">
        <v>298</v>
      </c>
      <c r="B238" s="11">
        <v>30</v>
      </c>
      <c r="C238" s="3"/>
      <c r="D238" s="20">
        <v>20</v>
      </c>
      <c r="E238" s="20">
        <v>20</v>
      </c>
      <c r="F238" s="13">
        <v>30</v>
      </c>
      <c r="G238" s="111">
        <v>40</v>
      </c>
      <c r="H238" s="15">
        <v>50</v>
      </c>
      <c r="I238" s="111">
        <v>40</v>
      </c>
      <c r="J238" s="13">
        <v>30</v>
      </c>
      <c r="K238" s="13">
        <v>30</v>
      </c>
      <c r="L238" s="15">
        <v>50</v>
      </c>
      <c r="M238" s="20">
        <v>20</v>
      </c>
      <c r="N238" s="12">
        <v>10</v>
      </c>
      <c r="O238" s="12">
        <v>10</v>
      </c>
    </row>
    <row r="239" spans="1:15" ht="16" x14ac:dyDescent="0.2">
      <c r="A239" s="10" t="s">
        <v>300</v>
      </c>
      <c r="B239" s="11">
        <v>30</v>
      </c>
      <c r="C239" s="3"/>
      <c r="D239" s="12">
        <v>20</v>
      </c>
      <c r="E239" s="13">
        <v>30</v>
      </c>
      <c r="F239" s="12">
        <v>20</v>
      </c>
      <c r="G239" s="12">
        <v>20</v>
      </c>
      <c r="H239" s="13">
        <v>30</v>
      </c>
      <c r="I239" s="13">
        <v>30</v>
      </c>
      <c r="J239" s="15">
        <v>40</v>
      </c>
      <c r="K239" s="12">
        <v>20</v>
      </c>
      <c r="L239" s="13">
        <v>30</v>
      </c>
      <c r="M239" s="15">
        <v>40</v>
      </c>
      <c r="N239" s="13">
        <v>30</v>
      </c>
      <c r="O239" s="13">
        <v>30</v>
      </c>
    </row>
    <row r="240" spans="1:15" ht="16" x14ac:dyDescent="0.2">
      <c r="A240" s="10" t="s">
        <v>301</v>
      </c>
      <c r="B240" s="11">
        <v>30</v>
      </c>
      <c r="C240" s="3"/>
      <c r="D240" s="12">
        <v>20</v>
      </c>
      <c r="E240" s="12">
        <v>20</v>
      </c>
      <c r="F240" s="13">
        <v>30</v>
      </c>
      <c r="G240" s="12">
        <v>20</v>
      </c>
      <c r="H240" s="12">
        <v>20</v>
      </c>
      <c r="I240" s="13">
        <v>30</v>
      </c>
      <c r="J240" s="12">
        <v>20</v>
      </c>
      <c r="K240" s="13">
        <v>30</v>
      </c>
      <c r="L240" s="13">
        <v>30</v>
      </c>
      <c r="M240" s="15">
        <v>40</v>
      </c>
      <c r="N240" s="13">
        <v>30</v>
      </c>
      <c r="O240" s="13">
        <v>30</v>
      </c>
    </row>
    <row r="241" spans="1:15" ht="16" x14ac:dyDescent="0.2">
      <c r="A241" s="127" t="s">
        <v>302</v>
      </c>
      <c r="B241" s="90">
        <v>30</v>
      </c>
      <c r="C241" s="3"/>
      <c r="D241" s="121">
        <v>0</v>
      </c>
      <c r="E241" s="91">
        <v>140</v>
      </c>
      <c r="F241" s="91">
        <v>140</v>
      </c>
      <c r="G241" s="166">
        <v>90</v>
      </c>
      <c r="H241" s="128">
        <v>10</v>
      </c>
      <c r="I241" s="128">
        <v>10</v>
      </c>
      <c r="J241" s="128">
        <v>10</v>
      </c>
      <c r="K241" s="128">
        <v>10</v>
      </c>
      <c r="L241" s="128">
        <v>10</v>
      </c>
      <c r="M241" s="121">
        <v>0</v>
      </c>
      <c r="N241" s="121">
        <v>0</v>
      </c>
      <c r="O241" s="121">
        <v>0</v>
      </c>
    </row>
    <row r="242" spans="1:15" ht="16" x14ac:dyDescent="0.2">
      <c r="A242" s="167" t="s">
        <v>303</v>
      </c>
      <c r="B242" s="90">
        <v>30</v>
      </c>
      <c r="C242" s="3"/>
      <c r="D242" s="163">
        <v>30</v>
      </c>
      <c r="E242" s="91">
        <v>40</v>
      </c>
      <c r="F242" s="163">
        <v>30</v>
      </c>
      <c r="G242" s="168">
        <v>20</v>
      </c>
      <c r="H242" s="168">
        <v>20</v>
      </c>
      <c r="I242" s="168">
        <v>20</v>
      </c>
      <c r="J242" s="163">
        <v>30</v>
      </c>
      <c r="K242" s="163">
        <v>30</v>
      </c>
      <c r="L242" s="163">
        <v>30</v>
      </c>
      <c r="M242" s="121">
        <v>10</v>
      </c>
      <c r="N242" s="168">
        <v>20</v>
      </c>
      <c r="O242" s="168">
        <v>20</v>
      </c>
    </row>
    <row r="243" spans="1:15" ht="16" x14ac:dyDescent="0.2">
      <c r="A243" s="10" t="s">
        <v>304</v>
      </c>
      <c r="B243" s="11">
        <v>30</v>
      </c>
      <c r="C243" s="3"/>
      <c r="D243" s="12">
        <v>20</v>
      </c>
      <c r="E243" s="13">
        <v>30</v>
      </c>
      <c r="F243" s="13">
        <v>30</v>
      </c>
      <c r="G243" s="12">
        <v>20</v>
      </c>
      <c r="H243" s="12">
        <v>20</v>
      </c>
      <c r="I243" s="15">
        <v>40</v>
      </c>
      <c r="J243" s="12">
        <v>20</v>
      </c>
      <c r="K243" s="13">
        <v>30</v>
      </c>
      <c r="L243" s="13">
        <v>30</v>
      </c>
      <c r="M243" s="13">
        <v>30</v>
      </c>
      <c r="N243" s="13">
        <v>30</v>
      </c>
      <c r="O243" s="13">
        <v>30</v>
      </c>
    </row>
    <row r="244" spans="1:15" ht="16" x14ac:dyDescent="0.2">
      <c r="A244" s="10" t="s">
        <v>305</v>
      </c>
      <c r="B244" s="11">
        <v>30</v>
      </c>
      <c r="C244" s="3"/>
      <c r="D244" s="13">
        <v>30</v>
      </c>
      <c r="E244" s="15">
        <v>40</v>
      </c>
      <c r="F244" s="13">
        <v>30</v>
      </c>
      <c r="G244" s="13">
        <v>30</v>
      </c>
      <c r="H244" s="13">
        <v>30</v>
      </c>
      <c r="I244" s="12">
        <v>20</v>
      </c>
      <c r="J244" s="12">
        <v>20</v>
      </c>
      <c r="K244" s="13">
        <v>30</v>
      </c>
      <c r="L244" s="12">
        <v>20</v>
      </c>
      <c r="M244" s="13">
        <v>30</v>
      </c>
      <c r="N244" s="12">
        <v>20</v>
      </c>
      <c r="O244" s="12">
        <v>20</v>
      </c>
    </row>
    <row r="245" spans="1:15" ht="16" x14ac:dyDescent="0.2">
      <c r="A245" s="10" t="s">
        <v>306</v>
      </c>
      <c r="B245" s="11">
        <v>30</v>
      </c>
      <c r="C245" s="3"/>
      <c r="D245" s="12">
        <v>20</v>
      </c>
      <c r="E245" s="13">
        <v>30</v>
      </c>
      <c r="F245" s="13">
        <v>30</v>
      </c>
      <c r="G245" s="12">
        <v>20</v>
      </c>
      <c r="H245" s="12">
        <v>20</v>
      </c>
      <c r="I245" s="15">
        <v>40</v>
      </c>
      <c r="J245" s="12">
        <v>20</v>
      </c>
      <c r="K245" s="13">
        <v>30</v>
      </c>
      <c r="L245" s="13">
        <v>30</v>
      </c>
      <c r="M245" s="13">
        <v>30</v>
      </c>
      <c r="N245" s="13">
        <v>30</v>
      </c>
      <c r="O245" s="13">
        <v>30</v>
      </c>
    </row>
    <row r="246" spans="1:15" ht="16" x14ac:dyDescent="0.2">
      <c r="A246" s="10" t="s">
        <v>307</v>
      </c>
      <c r="B246" s="11">
        <v>30</v>
      </c>
      <c r="C246" s="3"/>
      <c r="D246" s="15">
        <v>40</v>
      </c>
      <c r="E246" s="15">
        <v>40</v>
      </c>
      <c r="F246" s="13">
        <v>30</v>
      </c>
      <c r="G246" s="15">
        <v>40</v>
      </c>
      <c r="H246" s="12">
        <v>20</v>
      </c>
      <c r="I246" s="12">
        <v>20</v>
      </c>
      <c r="J246" s="13">
        <v>30</v>
      </c>
      <c r="K246" s="15">
        <v>40</v>
      </c>
      <c r="L246" s="12">
        <v>20</v>
      </c>
      <c r="M246" s="13">
        <v>30</v>
      </c>
      <c r="N246" s="13">
        <v>30</v>
      </c>
      <c r="O246" s="13">
        <v>30</v>
      </c>
    </row>
    <row r="247" spans="1:15" ht="16" x14ac:dyDescent="0.2">
      <c r="A247" s="10" t="s">
        <v>308</v>
      </c>
      <c r="B247" s="11">
        <v>30</v>
      </c>
      <c r="C247" s="3"/>
      <c r="D247" s="54">
        <v>40</v>
      </c>
      <c r="E247" s="15">
        <v>50</v>
      </c>
      <c r="F247" s="102">
        <v>20</v>
      </c>
      <c r="G247" s="54">
        <v>40</v>
      </c>
      <c r="H247" s="149">
        <v>30</v>
      </c>
      <c r="I247" s="102">
        <v>20</v>
      </c>
      <c r="J247" s="12">
        <v>10</v>
      </c>
      <c r="K247" s="102">
        <v>20</v>
      </c>
      <c r="L247" s="102">
        <v>20</v>
      </c>
      <c r="M247" s="15">
        <v>50</v>
      </c>
      <c r="N247" s="54">
        <v>40</v>
      </c>
      <c r="O247" s="54">
        <v>40</v>
      </c>
    </row>
    <row r="248" spans="1:15" ht="16" x14ac:dyDescent="0.2">
      <c r="A248" s="10" t="s">
        <v>309</v>
      </c>
      <c r="B248" s="11">
        <v>30</v>
      </c>
      <c r="C248" s="3"/>
      <c r="D248" s="15">
        <v>90</v>
      </c>
      <c r="E248" s="103">
        <v>50</v>
      </c>
      <c r="F248" s="117">
        <v>70</v>
      </c>
      <c r="G248" s="115">
        <v>30</v>
      </c>
      <c r="H248" s="12">
        <v>10</v>
      </c>
      <c r="I248" s="13">
        <v>20</v>
      </c>
      <c r="J248" s="12">
        <v>10</v>
      </c>
      <c r="K248" s="13">
        <v>20</v>
      </c>
      <c r="L248" s="13">
        <v>20</v>
      </c>
      <c r="M248" s="115">
        <v>30</v>
      </c>
      <c r="N248" s="12">
        <v>10</v>
      </c>
      <c r="O248" s="12">
        <v>10</v>
      </c>
    </row>
    <row r="249" spans="1:15" ht="16" x14ac:dyDescent="0.2">
      <c r="A249" s="18" t="s">
        <v>310</v>
      </c>
      <c r="B249" s="11">
        <v>30</v>
      </c>
      <c r="C249" s="3"/>
      <c r="D249" s="13">
        <v>30</v>
      </c>
      <c r="E249" s="15">
        <v>70</v>
      </c>
      <c r="F249" s="12">
        <v>20</v>
      </c>
      <c r="G249" s="13">
        <v>30</v>
      </c>
      <c r="H249" s="12">
        <v>20</v>
      </c>
      <c r="I249" s="13">
        <v>30</v>
      </c>
      <c r="J249" s="111">
        <v>50</v>
      </c>
      <c r="K249" s="78">
        <v>40</v>
      </c>
      <c r="L249" s="78">
        <v>40</v>
      </c>
      <c r="M249" s="12">
        <v>20</v>
      </c>
      <c r="N249" s="13">
        <v>30</v>
      </c>
      <c r="O249" s="13">
        <v>30</v>
      </c>
    </row>
    <row r="250" spans="1:15" ht="16" x14ac:dyDescent="0.2">
      <c r="A250" s="18" t="s">
        <v>311</v>
      </c>
      <c r="B250" s="11">
        <v>30</v>
      </c>
      <c r="C250" s="3"/>
      <c r="D250" s="15">
        <v>50</v>
      </c>
      <c r="E250" s="145">
        <v>40</v>
      </c>
      <c r="F250" s="124">
        <v>30</v>
      </c>
      <c r="G250" s="145">
        <v>40</v>
      </c>
      <c r="H250" s="12">
        <v>20</v>
      </c>
      <c r="I250" s="12">
        <v>20</v>
      </c>
      <c r="J250" s="12">
        <v>20</v>
      </c>
      <c r="K250" s="12">
        <v>20</v>
      </c>
      <c r="L250" s="145">
        <v>40</v>
      </c>
      <c r="M250" s="124">
        <v>30</v>
      </c>
      <c r="N250" s="12">
        <v>20</v>
      </c>
      <c r="O250" s="12">
        <v>20</v>
      </c>
    </row>
    <row r="251" spans="1:15" ht="16" x14ac:dyDescent="0.2">
      <c r="A251" s="10" t="s">
        <v>312</v>
      </c>
      <c r="B251" s="11">
        <v>30</v>
      </c>
      <c r="C251" s="3"/>
      <c r="D251" s="13">
        <v>30</v>
      </c>
      <c r="E251" s="15">
        <v>40</v>
      </c>
      <c r="F251" s="13">
        <v>30</v>
      </c>
      <c r="G251" s="15">
        <v>40</v>
      </c>
      <c r="H251" s="15">
        <v>40</v>
      </c>
      <c r="I251" s="13">
        <v>30</v>
      </c>
      <c r="J251" s="12">
        <v>20</v>
      </c>
      <c r="K251" s="12">
        <v>20</v>
      </c>
      <c r="L251" s="12">
        <v>20</v>
      </c>
      <c r="M251" s="13">
        <v>30</v>
      </c>
      <c r="N251" s="12">
        <v>20</v>
      </c>
      <c r="O251" s="12">
        <v>20</v>
      </c>
    </row>
    <row r="252" spans="1:15" ht="16" x14ac:dyDescent="0.2">
      <c r="A252" s="10" t="s">
        <v>587</v>
      </c>
      <c r="B252" s="11">
        <v>30</v>
      </c>
      <c r="C252" s="3"/>
      <c r="D252" s="12">
        <v>10</v>
      </c>
      <c r="E252" s="124">
        <v>30</v>
      </c>
      <c r="F252" s="124">
        <v>30</v>
      </c>
      <c r="G252" s="15">
        <v>50</v>
      </c>
      <c r="H252" s="112">
        <v>20</v>
      </c>
      <c r="I252" s="145">
        <v>40</v>
      </c>
      <c r="J252" s="112">
        <v>20</v>
      </c>
      <c r="K252" s="124">
        <v>30</v>
      </c>
      <c r="L252" s="112">
        <v>20</v>
      </c>
      <c r="M252" s="124">
        <v>30</v>
      </c>
      <c r="N252" s="112">
        <v>20</v>
      </c>
      <c r="O252" s="112">
        <v>20</v>
      </c>
    </row>
    <row r="253" spans="1:15" ht="16" x14ac:dyDescent="0.2">
      <c r="A253" s="10" t="s">
        <v>313</v>
      </c>
      <c r="B253" s="11">
        <v>30</v>
      </c>
      <c r="C253" s="3"/>
      <c r="D253" s="13">
        <v>30</v>
      </c>
      <c r="E253" s="15">
        <v>40</v>
      </c>
      <c r="F253" s="15">
        <v>40</v>
      </c>
      <c r="G253" s="15">
        <v>40</v>
      </c>
      <c r="H253" s="15">
        <v>40</v>
      </c>
      <c r="I253" s="13">
        <v>30</v>
      </c>
      <c r="J253" s="12">
        <v>20</v>
      </c>
      <c r="K253" s="13">
        <v>30</v>
      </c>
      <c r="L253" s="12">
        <v>20</v>
      </c>
      <c r="M253" s="12">
        <v>20</v>
      </c>
      <c r="N253" s="12">
        <v>20</v>
      </c>
      <c r="O253" s="12">
        <v>20</v>
      </c>
    </row>
    <row r="254" spans="1:15" ht="16" x14ac:dyDescent="0.2">
      <c r="A254" s="10" t="s">
        <v>315</v>
      </c>
      <c r="B254" s="11">
        <v>30</v>
      </c>
      <c r="C254" s="3"/>
      <c r="D254" s="12">
        <v>10</v>
      </c>
      <c r="E254" s="124">
        <v>30</v>
      </c>
      <c r="F254" s="124">
        <v>30</v>
      </c>
      <c r="G254" s="15">
        <v>50</v>
      </c>
      <c r="H254" s="112">
        <v>20</v>
      </c>
      <c r="I254" s="145">
        <v>40</v>
      </c>
      <c r="J254" s="112">
        <v>20</v>
      </c>
      <c r="K254" s="124">
        <v>30</v>
      </c>
      <c r="L254" s="112">
        <v>20</v>
      </c>
      <c r="M254" s="124">
        <v>30</v>
      </c>
      <c r="N254" s="112">
        <v>20</v>
      </c>
      <c r="O254" s="112">
        <v>20</v>
      </c>
    </row>
    <row r="255" spans="1:15" ht="16" x14ac:dyDescent="0.2">
      <c r="A255" s="10" t="s">
        <v>316</v>
      </c>
      <c r="B255" s="11">
        <v>30</v>
      </c>
      <c r="C255" s="3"/>
      <c r="D255" s="124">
        <v>30</v>
      </c>
      <c r="E255" s="12">
        <v>10</v>
      </c>
      <c r="F255" s="12">
        <v>10</v>
      </c>
      <c r="G255" s="12">
        <v>10</v>
      </c>
      <c r="H255" s="12">
        <v>10</v>
      </c>
      <c r="I255" s="15">
        <v>70</v>
      </c>
      <c r="J255" s="15">
        <v>70</v>
      </c>
      <c r="K255" s="13">
        <v>20</v>
      </c>
      <c r="L255" s="13">
        <v>20</v>
      </c>
      <c r="M255" s="15">
        <v>70</v>
      </c>
      <c r="N255" s="13">
        <v>20</v>
      </c>
      <c r="O255" s="13">
        <v>20</v>
      </c>
    </row>
    <row r="256" spans="1:15" ht="16" x14ac:dyDescent="0.2">
      <c r="A256" s="18" t="s">
        <v>318</v>
      </c>
      <c r="B256" s="11">
        <v>30</v>
      </c>
      <c r="C256" s="3"/>
      <c r="D256" s="13">
        <v>20</v>
      </c>
      <c r="E256" s="54">
        <v>30</v>
      </c>
      <c r="F256" s="54">
        <v>30</v>
      </c>
      <c r="G256" s="140">
        <v>40</v>
      </c>
      <c r="H256" s="15">
        <v>50</v>
      </c>
      <c r="I256" s="13">
        <v>20</v>
      </c>
      <c r="J256" s="13">
        <v>20</v>
      </c>
      <c r="K256" s="13">
        <v>20</v>
      </c>
      <c r="L256" s="13">
        <v>20</v>
      </c>
      <c r="M256" s="13">
        <v>20</v>
      </c>
      <c r="N256" s="12">
        <v>10</v>
      </c>
      <c r="O256" s="12">
        <v>10</v>
      </c>
    </row>
    <row r="257" spans="1:15" ht="16" x14ac:dyDescent="0.2">
      <c r="A257" s="18" t="s">
        <v>319</v>
      </c>
      <c r="B257" s="11">
        <v>30</v>
      </c>
      <c r="C257" s="3"/>
      <c r="D257" s="12">
        <v>10</v>
      </c>
      <c r="E257" s="13">
        <v>20</v>
      </c>
      <c r="F257" s="13">
        <v>20</v>
      </c>
      <c r="G257" s="13">
        <v>20</v>
      </c>
      <c r="H257" s="12">
        <v>10</v>
      </c>
      <c r="I257" s="15">
        <v>40</v>
      </c>
      <c r="J257" s="15">
        <v>40</v>
      </c>
      <c r="K257" s="15">
        <v>40</v>
      </c>
      <c r="L257" s="111">
        <v>30</v>
      </c>
      <c r="M257" s="111">
        <v>30</v>
      </c>
      <c r="N257" s="12">
        <v>10</v>
      </c>
      <c r="O257" s="12">
        <v>10</v>
      </c>
    </row>
    <row r="258" spans="1:15" ht="16" x14ac:dyDescent="0.2">
      <c r="A258" s="10" t="s">
        <v>322</v>
      </c>
      <c r="B258" s="11">
        <v>30</v>
      </c>
      <c r="C258" s="3"/>
      <c r="D258" s="12">
        <v>20</v>
      </c>
      <c r="E258" s="12">
        <v>20</v>
      </c>
      <c r="F258" s="13">
        <v>30</v>
      </c>
      <c r="G258" s="78">
        <v>40</v>
      </c>
      <c r="H258" s="12">
        <v>20</v>
      </c>
      <c r="I258" s="12">
        <v>20</v>
      </c>
      <c r="J258" s="12">
        <v>20</v>
      </c>
      <c r="K258" s="13">
        <v>30</v>
      </c>
      <c r="L258" s="78">
        <v>40</v>
      </c>
      <c r="M258" s="13">
        <v>30</v>
      </c>
      <c r="N258" s="15">
        <v>70</v>
      </c>
      <c r="O258" s="15">
        <v>70</v>
      </c>
    </row>
    <row r="259" spans="1:15" ht="16" x14ac:dyDescent="0.2">
      <c r="A259" s="18" t="s">
        <v>324</v>
      </c>
      <c r="B259" s="11">
        <v>30</v>
      </c>
      <c r="C259" s="3"/>
      <c r="D259" s="24">
        <v>30</v>
      </c>
      <c r="E259" s="12">
        <v>20</v>
      </c>
      <c r="F259" s="12">
        <v>20</v>
      </c>
      <c r="G259" s="157">
        <v>50</v>
      </c>
      <c r="H259" s="12">
        <v>20</v>
      </c>
      <c r="I259" s="24">
        <v>30</v>
      </c>
      <c r="J259" s="15">
        <v>70</v>
      </c>
      <c r="K259" s="24">
        <v>30</v>
      </c>
      <c r="L259" s="24">
        <v>30</v>
      </c>
      <c r="M259" s="24">
        <v>30</v>
      </c>
      <c r="N259" s="24">
        <v>30</v>
      </c>
      <c r="O259" s="24">
        <v>30</v>
      </c>
    </row>
    <row r="260" spans="1:15" ht="16" x14ac:dyDescent="0.2">
      <c r="A260" s="18" t="s">
        <v>325</v>
      </c>
      <c r="B260" s="11">
        <v>30</v>
      </c>
      <c r="C260" s="3"/>
      <c r="D260" s="169">
        <v>50</v>
      </c>
      <c r="E260" s="105">
        <v>40</v>
      </c>
      <c r="F260" s="170">
        <v>30</v>
      </c>
      <c r="G260" s="170">
        <v>30</v>
      </c>
      <c r="H260" s="170">
        <v>30</v>
      </c>
      <c r="I260" s="171">
        <v>20</v>
      </c>
      <c r="J260" s="24">
        <v>10</v>
      </c>
      <c r="K260" s="171">
        <v>20</v>
      </c>
      <c r="L260" s="105">
        <v>40</v>
      </c>
      <c r="M260" s="171">
        <v>20</v>
      </c>
      <c r="N260" s="171">
        <v>20</v>
      </c>
      <c r="O260" s="171">
        <v>20</v>
      </c>
    </row>
    <row r="261" spans="1:15" ht="16" x14ac:dyDescent="0.2">
      <c r="A261" s="10" t="s">
        <v>326</v>
      </c>
      <c r="B261" s="11">
        <v>20</v>
      </c>
      <c r="C261" s="3"/>
      <c r="D261" s="15">
        <v>70</v>
      </c>
      <c r="E261" s="12">
        <v>10</v>
      </c>
      <c r="F261" s="12">
        <v>10</v>
      </c>
      <c r="G261" s="13">
        <v>20</v>
      </c>
      <c r="H261" s="130">
        <v>40</v>
      </c>
      <c r="I261" s="13">
        <v>20</v>
      </c>
      <c r="J261" s="13">
        <v>20</v>
      </c>
      <c r="K261" s="124">
        <v>30</v>
      </c>
      <c r="L261" s="13">
        <v>20</v>
      </c>
      <c r="M261" s="12">
        <v>10</v>
      </c>
      <c r="N261" s="13">
        <v>20</v>
      </c>
      <c r="O261" s="13">
        <v>20</v>
      </c>
    </row>
    <row r="262" spans="1:15" ht="16" x14ac:dyDescent="0.2">
      <c r="A262" s="10" t="s">
        <v>327</v>
      </c>
      <c r="B262" s="11">
        <v>20</v>
      </c>
      <c r="C262" s="3"/>
      <c r="D262" s="15">
        <v>20</v>
      </c>
      <c r="E262" s="15">
        <v>20</v>
      </c>
      <c r="F262" s="12">
        <v>10</v>
      </c>
      <c r="G262" s="12">
        <v>10</v>
      </c>
      <c r="H262" s="15">
        <v>20</v>
      </c>
      <c r="I262" s="15">
        <v>20</v>
      </c>
      <c r="J262" s="15">
        <v>20</v>
      </c>
      <c r="K262" s="15">
        <v>20</v>
      </c>
      <c r="L262" s="15">
        <v>20</v>
      </c>
      <c r="M262" s="12">
        <v>10</v>
      </c>
      <c r="N262" s="15">
        <v>20</v>
      </c>
      <c r="O262" s="15">
        <v>20</v>
      </c>
    </row>
    <row r="263" spans="1:15" ht="16" x14ac:dyDescent="0.2">
      <c r="A263" s="10" t="s">
        <v>328</v>
      </c>
      <c r="B263" s="11">
        <v>20</v>
      </c>
      <c r="C263" s="3"/>
      <c r="D263" s="12">
        <v>10</v>
      </c>
      <c r="E263" s="15">
        <v>40</v>
      </c>
      <c r="F263" s="124">
        <v>20</v>
      </c>
      <c r="G263" s="124">
        <v>20</v>
      </c>
      <c r="H263" s="145">
        <v>30</v>
      </c>
      <c r="I263" s="124">
        <v>20</v>
      </c>
      <c r="J263" s="12">
        <v>10</v>
      </c>
      <c r="K263" s="12">
        <v>10</v>
      </c>
      <c r="L263" s="124">
        <v>20</v>
      </c>
      <c r="M263" s="12">
        <v>10</v>
      </c>
      <c r="N263" s="12">
        <v>10</v>
      </c>
      <c r="O263" s="12">
        <v>10</v>
      </c>
    </row>
    <row r="264" spans="1:15" ht="16" x14ac:dyDescent="0.2">
      <c r="A264" s="10" t="s">
        <v>329</v>
      </c>
      <c r="B264" s="11">
        <v>20</v>
      </c>
      <c r="C264" s="3"/>
      <c r="D264" s="12">
        <v>10</v>
      </c>
      <c r="E264" s="12">
        <v>10</v>
      </c>
      <c r="F264" s="12">
        <v>10</v>
      </c>
      <c r="G264" s="12">
        <v>10</v>
      </c>
      <c r="H264" s="150">
        <v>20</v>
      </c>
      <c r="I264" s="12">
        <v>10</v>
      </c>
      <c r="J264" s="12">
        <v>10</v>
      </c>
      <c r="K264" s="12">
        <v>10</v>
      </c>
      <c r="L264" s="78">
        <v>30</v>
      </c>
      <c r="M264" s="78">
        <v>30</v>
      </c>
      <c r="N264" s="15">
        <v>90</v>
      </c>
      <c r="O264" s="15">
        <v>90</v>
      </c>
    </row>
    <row r="265" spans="1:15" ht="16" x14ac:dyDescent="0.2">
      <c r="A265" s="10" t="s">
        <v>330</v>
      </c>
      <c r="B265" s="11">
        <v>20</v>
      </c>
      <c r="C265" s="3"/>
      <c r="D265" s="12">
        <v>10</v>
      </c>
      <c r="E265" s="13">
        <v>20</v>
      </c>
      <c r="F265" s="15">
        <v>50</v>
      </c>
      <c r="G265" s="54">
        <v>30</v>
      </c>
      <c r="H265" s="13">
        <v>20</v>
      </c>
      <c r="I265" s="12">
        <v>10</v>
      </c>
      <c r="J265" s="13">
        <v>20</v>
      </c>
      <c r="K265" s="12">
        <v>10</v>
      </c>
      <c r="L265" s="140">
        <v>40</v>
      </c>
      <c r="M265" s="13">
        <v>20</v>
      </c>
      <c r="N265" s="12">
        <v>10</v>
      </c>
      <c r="O265" s="12">
        <v>10</v>
      </c>
    </row>
    <row r="266" spans="1:15" ht="16" x14ac:dyDescent="0.2">
      <c r="A266" s="10" t="s">
        <v>331</v>
      </c>
      <c r="B266" s="11">
        <v>20</v>
      </c>
      <c r="C266" s="3"/>
      <c r="D266" s="13">
        <v>10</v>
      </c>
      <c r="E266" s="13">
        <v>10</v>
      </c>
      <c r="F266" s="172">
        <v>40</v>
      </c>
      <c r="G266" s="13">
        <v>10</v>
      </c>
      <c r="H266" s="13">
        <v>10</v>
      </c>
      <c r="I266" s="13">
        <v>10</v>
      </c>
      <c r="J266" s="111">
        <v>30</v>
      </c>
      <c r="K266" s="12">
        <v>0</v>
      </c>
      <c r="L266" s="13">
        <v>10</v>
      </c>
      <c r="M266" s="13">
        <v>10</v>
      </c>
      <c r="N266" s="15">
        <v>50</v>
      </c>
      <c r="O266" s="15">
        <v>50</v>
      </c>
    </row>
    <row r="267" spans="1:15" ht="16" x14ac:dyDescent="0.2">
      <c r="A267" s="10" t="s">
        <v>332</v>
      </c>
      <c r="B267" s="11">
        <v>20</v>
      </c>
      <c r="C267" s="3"/>
      <c r="D267" s="12">
        <v>10</v>
      </c>
      <c r="E267" s="12">
        <v>10</v>
      </c>
      <c r="F267" s="12">
        <v>10</v>
      </c>
      <c r="G267" s="12">
        <v>10</v>
      </c>
      <c r="H267" s="12">
        <v>10</v>
      </c>
      <c r="I267" s="12">
        <v>10</v>
      </c>
      <c r="J267" s="12">
        <v>10</v>
      </c>
      <c r="K267" s="151">
        <v>40</v>
      </c>
      <c r="L267" s="15">
        <v>90</v>
      </c>
      <c r="M267" s="151">
        <v>40</v>
      </c>
      <c r="N267" s="150">
        <v>20</v>
      </c>
      <c r="O267" s="150">
        <v>20</v>
      </c>
    </row>
    <row r="268" spans="1:15" ht="16" x14ac:dyDescent="0.2">
      <c r="A268" s="10" t="s">
        <v>334</v>
      </c>
      <c r="B268" s="11">
        <v>20</v>
      </c>
      <c r="C268" s="3"/>
      <c r="D268" s="13">
        <v>20</v>
      </c>
      <c r="E268" s="13">
        <v>20</v>
      </c>
      <c r="F268" s="111">
        <v>30</v>
      </c>
      <c r="G268" s="12">
        <v>10</v>
      </c>
      <c r="H268" s="12">
        <v>10</v>
      </c>
      <c r="I268" s="13">
        <v>20</v>
      </c>
      <c r="J268" s="12">
        <v>10</v>
      </c>
      <c r="K268" s="15">
        <v>40</v>
      </c>
      <c r="L268" s="13">
        <v>20</v>
      </c>
      <c r="M268" s="111">
        <v>30</v>
      </c>
      <c r="N268" s="13">
        <v>20</v>
      </c>
      <c r="O268" s="13">
        <v>20</v>
      </c>
    </row>
    <row r="269" spans="1:15" ht="16" x14ac:dyDescent="0.2">
      <c r="A269" s="10" t="s">
        <v>335</v>
      </c>
      <c r="B269" s="11">
        <v>20</v>
      </c>
      <c r="C269" s="3"/>
      <c r="D269" s="112">
        <v>20</v>
      </c>
      <c r="E269" s="15">
        <v>30</v>
      </c>
      <c r="F269" s="15">
        <v>30</v>
      </c>
      <c r="G269" s="112">
        <v>20</v>
      </c>
      <c r="H269" s="15">
        <v>30</v>
      </c>
      <c r="I269" s="15">
        <v>30</v>
      </c>
      <c r="J269" s="112">
        <v>20</v>
      </c>
      <c r="K269" s="15">
        <v>30</v>
      </c>
      <c r="L269" s="15">
        <v>30</v>
      </c>
      <c r="M269" s="112">
        <v>20</v>
      </c>
      <c r="N269" s="12">
        <v>10</v>
      </c>
      <c r="O269" s="12">
        <v>10</v>
      </c>
    </row>
    <row r="270" spans="1:15" ht="16" x14ac:dyDescent="0.2">
      <c r="A270" s="18" t="s">
        <v>336</v>
      </c>
      <c r="B270" s="11">
        <v>20</v>
      </c>
      <c r="C270" s="3"/>
      <c r="D270" s="15">
        <v>20</v>
      </c>
      <c r="E270" s="15">
        <v>20</v>
      </c>
      <c r="F270" s="12">
        <v>10</v>
      </c>
      <c r="G270" s="15">
        <v>20</v>
      </c>
      <c r="H270" s="15">
        <v>20</v>
      </c>
      <c r="I270" s="15">
        <v>20</v>
      </c>
      <c r="J270" s="12">
        <v>10</v>
      </c>
      <c r="K270" s="15">
        <v>20</v>
      </c>
      <c r="L270" s="15">
        <v>20</v>
      </c>
      <c r="M270" s="15">
        <v>20</v>
      </c>
      <c r="N270" s="12">
        <v>10</v>
      </c>
      <c r="O270" s="12">
        <v>10</v>
      </c>
    </row>
    <row r="271" spans="1:15" ht="16" x14ac:dyDescent="0.2">
      <c r="A271" s="18" t="s">
        <v>337</v>
      </c>
      <c r="B271" s="11">
        <v>20</v>
      </c>
      <c r="C271" s="3"/>
      <c r="D271" s="15">
        <v>30</v>
      </c>
      <c r="E271" s="15">
        <v>30</v>
      </c>
      <c r="F271" s="20">
        <v>20</v>
      </c>
      <c r="G271" s="15">
        <v>30</v>
      </c>
      <c r="H271" s="20">
        <v>20</v>
      </c>
      <c r="I271" s="12">
        <v>10</v>
      </c>
      <c r="J271" s="12">
        <v>10</v>
      </c>
      <c r="K271" s="12">
        <v>10</v>
      </c>
      <c r="L271" s="15">
        <v>30</v>
      </c>
      <c r="M271" s="15">
        <v>30</v>
      </c>
      <c r="N271" s="15">
        <v>30</v>
      </c>
      <c r="O271" s="15">
        <v>30</v>
      </c>
    </row>
    <row r="272" spans="1:15" ht="16" x14ac:dyDescent="0.2">
      <c r="A272" s="173" t="s">
        <v>338</v>
      </c>
      <c r="B272" s="11">
        <v>20</v>
      </c>
      <c r="C272" s="3"/>
      <c r="D272" s="13">
        <v>20</v>
      </c>
      <c r="E272" s="12">
        <v>10</v>
      </c>
      <c r="F272" s="12">
        <v>10</v>
      </c>
      <c r="G272" s="13">
        <v>20</v>
      </c>
      <c r="H272" s="13">
        <v>20</v>
      </c>
      <c r="I272" s="15">
        <v>30</v>
      </c>
      <c r="J272" s="13">
        <v>20</v>
      </c>
      <c r="K272" s="13">
        <v>20</v>
      </c>
      <c r="L272" s="13">
        <v>20</v>
      </c>
      <c r="M272" s="12">
        <v>10</v>
      </c>
      <c r="N272" s="13">
        <v>20</v>
      </c>
      <c r="O272" s="13">
        <v>20</v>
      </c>
    </row>
    <row r="273" spans="1:15" ht="16" x14ac:dyDescent="0.2">
      <c r="A273" s="10" t="s">
        <v>339</v>
      </c>
      <c r="B273" s="11">
        <v>20</v>
      </c>
      <c r="C273" s="3"/>
      <c r="D273" s="15">
        <v>50</v>
      </c>
      <c r="E273" s="172">
        <v>40</v>
      </c>
      <c r="F273" s="78">
        <v>20</v>
      </c>
      <c r="G273" s="12">
        <v>10</v>
      </c>
      <c r="H273" s="12">
        <v>10</v>
      </c>
      <c r="I273" s="12">
        <v>10</v>
      </c>
      <c r="J273" s="12">
        <v>10</v>
      </c>
      <c r="K273" s="12">
        <v>10</v>
      </c>
      <c r="L273" s="78">
        <v>20</v>
      </c>
      <c r="M273" s="78">
        <v>20</v>
      </c>
      <c r="N273" s="12">
        <v>10</v>
      </c>
      <c r="O273" s="12">
        <v>10</v>
      </c>
    </row>
    <row r="274" spans="1:15" ht="16" x14ac:dyDescent="0.2">
      <c r="A274" s="18" t="s">
        <v>342</v>
      </c>
      <c r="B274" s="11">
        <v>20</v>
      </c>
      <c r="C274" s="3"/>
      <c r="D274" s="12">
        <v>20</v>
      </c>
      <c r="E274" s="15">
        <v>30</v>
      </c>
      <c r="F274" s="12">
        <v>20</v>
      </c>
      <c r="G274" s="12">
        <v>20</v>
      </c>
      <c r="H274" s="15">
        <v>30</v>
      </c>
      <c r="I274" s="12">
        <v>20</v>
      </c>
      <c r="J274" s="12">
        <v>20</v>
      </c>
      <c r="K274" s="12">
        <v>20</v>
      </c>
      <c r="L274" s="15">
        <v>30</v>
      </c>
      <c r="M274" s="15">
        <v>30</v>
      </c>
      <c r="N274" s="12">
        <v>20</v>
      </c>
      <c r="O274" s="12">
        <v>20</v>
      </c>
    </row>
    <row r="275" spans="1:15" ht="16" x14ac:dyDescent="0.2">
      <c r="A275" s="18" t="s">
        <v>344</v>
      </c>
      <c r="B275" s="11">
        <v>20</v>
      </c>
      <c r="C275" s="3"/>
      <c r="D275" s="12">
        <v>10</v>
      </c>
      <c r="E275" s="12">
        <v>10</v>
      </c>
      <c r="F275" s="111">
        <v>20</v>
      </c>
      <c r="G275" s="111">
        <v>20</v>
      </c>
      <c r="H275" s="111">
        <v>20</v>
      </c>
      <c r="I275" s="111">
        <v>20</v>
      </c>
      <c r="J275" s="12">
        <v>10</v>
      </c>
      <c r="K275" s="12">
        <v>10</v>
      </c>
      <c r="L275" s="15">
        <v>30</v>
      </c>
      <c r="M275" s="12">
        <v>10</v>
      </c>
      <c r="N275" s="12">
        <v>10</v>
      </c>
      <c r="O275" s="12">
        <v>10</v>
      </c>
    </row>
    <row r="276" spans="1:15" ht="16" x14ac:dyDescent="0.2">
      <c r="A276" s="10" t="s">
        <v>345</v>
      </c>
      <c r="B276" s="11">
        <v>20</v>
      </c>
      <c r="C276" s="3"/>
      <c r="D276" s="13">
        <v>20</v>
      </c>
      <c r="E276" s="13">
        <v>20</v>
      </c>
      <c r="F276" s="13">
        <v>20</v>
      </c>
      <c r="G276" s="12">
        <v>10</v>
      </c>
      <c r="H276" s="13">
        <v>20</v>
      </c>
      <c r="I276" s="15">
        <v>30</v>
      </c>
      <c r="J276" s="13">
        <v>20</v>
      </c>
      <c r="K276" s="13">
        <v>20</v>
      </c>
      <c r="L276" s="12">
        <v>10</v>
      </c>
      <c r="M276" s="12">
        <v>10</v>
      </c>
      <c r="N276" s="13">
        <v>20</v>
      </c>
      <c r="O276" s="13">
        <v>20</v>
      </c>
    </row>
    <row r="277" spans="1:15" ht="16" x14ac:dyDescent="0.2">
      <c r="A277" s="167" t="s">
        <v>346</v>
      </c>
      <c r="B277" s="90">
        <v>20</v>
      </c>
      <c r="C277" s="3"/>
      <c r="D277" s="121">
        <v>10</v>
      </c>
      <c r="E277" s="91">
        <v>30</v>
      </c>
      <c r="F277" s="121">
        <v>10</v>
      </c>
      <c r="G277" s="121">
        <v>10</v>
      </c>
      <c r="H277" s="121">
        <v>10</v>
      </c>
      <c r="I277" s="121">
        <v>10</v>
      </c>
      <c r="J277" s="174">
        <v>20</v>
      </c>
      <c r="K277" s="121">
        <v>10</v>
      </c>
      <c r="L277" s="174">
        <v>20</v>
      </c>
      <c r="M277" s="174">
        <v>20</v>
      </c>
      <c r="N277" s="121">
        <v>10</v>
      </c>
      <c r="O277" s="121">
        <v>10</v>
      </c>
    </row>
    <row r="278" spans="1:15" ht="16" x14ac:dyDescent="0.2">
      <c r="A278" s="10" t="s">
        <v>347</v>
      </c>
      <c r="B278" s="11">
        <v>20</v>
      </c>
      <c r="C278" s="3"/>
      <c r="D278" s="15">
        <v>40</v>
      </c>
      <c r="E278" s="111">
        <v>30</v>
      </c>
      <c r="F278" s="111">
        <v>30</v>
      </c>
      <c r="G278" s="13">
        <v>20</v>
      </c>
      <c r="H278" s="15">
        <v>40</v>
      </c>
      <c r="I278" s="12">
        <v>10</v>
      </c>
      <c r="J278" s="13">
        <v>20</v>
      </c>
      <c r="K278" s="12">
        <v>10</v>
      </c>
      <c r="L278" s="13">
        <v>20</v>
      </c>
      <c r="M278" s="111">
        <v>30</v>
      </c>
      <c r="N278" s="13">
        <v>20</v>
      </c>
      <c r="O278" s="13">
        <v>20</v>
      </c>
    </row>
    <row r="279" spans="1:15" ht="16" x14ac:dyDescent="0.2">
      <c r="A279" s="10" t="s">
        <v>348</v>
      </c>
      <c r="B279" s="11">
        <v>20</v>
      </c>
      <c r="C279" s="3"/>
      <c r="D279" s="13">
        <v>20</v>
      </c>
      <c r="E279" s="13">
        <v>20</v>
      </c>
      <c r="F279" s="111">
        <v>30</v>
      </c>
      <c r="G279" s="13">
        <v>20</v>
      </c>
      <c r="H279" s="12">
        <v>10</v>
      </c>
      <c r="I279" s="12">
        <v>10</v>
      </c>
      <c r="J279" s="12">
        <v>10</v>
      </c>
      <c r="K279" s="13">
        <v>20</v>
      </c>
      <c r="L279" s="13">
        <v>20</v>
      </c>
      <c r="M279" s="15">
        <v>40</v>
      </c>
      <c r="N279" s="12">
        <v>10</v>
      </c>
      <c r="O279" s="12">
        <v>10</v>
      </c>
    </row>
    <row r="280" spans="1:15" ht="16" x14ac:dyDescent="0.2">
      <c r="A280" s="10" t="s">
        <v>349</v>
      </c>
      <c r="B280" s="11">
        <v>20</v>
      </c>
      <c r="C280" s="3"/>
      <c r="D280" s="12">
        <v>10</v>
      </c>
      <c r="E280" s="15">
        <v>30</v>
      </c>
      <c r="F280" s="13">
        <v>20</v>
      </c>
      <c r="G280" s="13">
        <v>20</v>
      </c>
      <c r="H280" s="13">
        <v>20</v>
      </c>
      <c r="I280" s="13">
        <v>20</v>
      </c>
      <c r="J280" s="13">
        <v>20</v>
      </c>
      <c r="K280" s="13">
        <v>20</v>
      </c>
      <c r="L280" s="13">
        <v>20</v>
      </c>
      <c r="M280" s="13">
        <v>20</v>
      </c>
      <c r="N280" s="13">
        <v>20</v>
      </c>
      <c r="O280" s="13">
        <v>20</v>
      </c>
    </row>
    <row r="281" spans="1:15" ht="16" x14ac:dyDescent="0.2">
      <c r="A281" s="18" t="s">
        <v>350</v>
      </c>
      <c r="B281" s="11">
        <v>20</v>
      </c>
      <c r="C281" s="3"/>
      <c r="D281" s="13">
        <v>20</v>
      </c>
      <c r="E281" s="130">
        <v>40</v>
      </c>
      <c r="F281" s="124">
        <v>30</v>
      </c>
      <c r="G281" s="13">
        <v>20</v>
      </c>
      <c r="H281" s="15">
        <v>70</v>
      </c>
      <c r="I281" s="13">
        <v>20</v>
      </c>
      <c r="J281" s="13">
        <v>20</v>
      </c>
      <c r="K281" s="13">
        <v>20</v>
      </c>
      <c r="L281" s="13">
        <v>20</v>
      </c>
      <c r="M281" s="13">
        <v>20</v>
      </c>
      <c r="N281" s="12">
        <v>10</v>
      </c>
      <c r="O281" s="12">
        <v>10</v>
      </c>
    </row>
    <row r="282" spans="1:15" ht="16" x14ac:dyDescent="0.2">
      <c r="A282" s="18" t="s">
        <v>351</v>
      </c>
      <c r="B282" s="11">
        <v>20</v>
      </c>
      <c r="C282" s="3"/>
      <c r="D282" s="15">
        <v>40</v>
      </c>
      <c r="E282" s="111">
        <v>30</v>
      </c>
      <c r="F282" s="111">
        <v>30</v>
      </c>
      <c r="G282" s="12">
        <v>10</v>
      </c>
      <c r="H282" s="13">
        <v>20</v>
      </c>
      <c r="I282" s="13">
        <v>20</v>
      </c>
      <c r="J282" s="13">
        <v>20</v>
      </c>
      <c r="K282" s="13">
        <v>20</v>
      </c>
      <c r="L282" s="111">
        <v>30</v>
      </c>
      <c r="M282" s="12">
        <v>10</v>
      </c>
      <c r="N282" s="12">
        <v>10</v>
      </c>
      <c r="O282" s="12">
        <v>10</v>
      </c>
    </row>
    <row r="283" spans="1:15" ht="16" x14ac:dyDescent="0.2">
      <c r="A283" s="18" t="s">
        <v>352</v>
      </c>
      <c r="B283" s="11">
        <v>20</v>
      </c>
      <c r="C283" s="3"/>
      <c r="D283" s="12">
        <v>10</v>
      </c>
      <c r="E283" s="13">
        <v>20</v>
      </c>
      <c r="F283" s="15">
        <v>30</v>
      </c>
      <c r="G283" s="13">
        <v>20</v>
      </c>
      <c r="H283" s="13">
        <v>20</v>
      </c>
      <c r="I283" s="13">
        <v>20</v>
      </c>
      <c r="J283" s="13">
        <v>20</v>
      </c>
      <c r="K283" s="13">
        <v>20</v>
      </c>
      <c r="L283" s="13">
        <v>20</v>
      </c>
      <c r="M283" s="13">
        <v>20</v>
      </c>
      <c r="N283" s="13">
        <v>20</v>
      </c>
      <c r="O283" s="13">
        <v>20</v>
      </c>
    </row>
    <row r="284" spans="1:15" ht="16" x14ac:dyDescent="0.2">
      <c r="A284" s="18" t="s">
        <v>354</v>
      </c>
      <c r="B284" s="11">
        <v>20</v>
      </c>
      <c r="C284" s="3"/>
      <c r="D284" s="12">
        <v>10</v>
      </c>
      <c r="E284" s="15">
        <v>40</v>
      </c>
      <c r="F284" s="13">
        <v>20</v>
      </c>
      <c r="G284" s="12">
        <v>10</v>
      </c>
      <c r="H284" s="12">
        <v>10</v>
      </c>
      <c r="I284" s="111">
        <v>30</v>
      </c>
      <c r="J284" s="111">
        <v>30</v>
      </c>
      <c r="K284" s="13">
        <v>20</v>
      </c>
      <c r="L284" s="111">
        <v>30</v>
      </c>
      <c r="M284" s="13">
        <v>20</v>
      </c>
      <c r="N284" s="12">
        <v>10</v>
      </c>
      <c r="O284" s="12">
        <v>10</v>
      </c>
    </row>
    <row r="285" spans="1:15" ht="16" x14ac:dyDescent="0.2">
      <c r="A285" s="18" t="s">
        <v>355</v>
      </c>
      <c r="B285" s="11">
        <v>20</v>
      </c>
      <c r="C285" s="3"/>
      <c r="D285" s="12">
        <v>10</v>
      </c>
      <c r="E285" s="15">
        <v>30</v>
      </c>
      <c r="F285" s="15">
        <v>30</v>
      </c>
      <c r="G285" s="54">
        <v>20</v>
      </c>
      <c r="H285" s="15">
        <v>30</v>
      </c>
      <c r="I285" s="54">
        <v>20</v>
      </c>
      <c r="J285" s="12">
        <v>10</v>
      </c>
      <c r="K285" s="12">
        <v>10</v>
      </c>
      <c r="L285" s="54">
        <v>20</v>
      </c>
      <c r="M285" s="12">
        <v>10</v>
      </c>
      <c r="N285" s="12">
        <v>10</v>
      </c>
      <c r="O285" s="12">
        <v>10</v>
      </c>
    </row>
    <row r="286" spans="1:15" ht="16" x14ac:dyDescent="0.2">
      <c r="A286" s="18" t="s">
        <v>356</v>
      </c>
      <c r="B286" s="11">
        <v>20</v>
      </c>
      <c r="C286" s="3"/>
      <c r="D286" s="13">
        <v>20</v>
      </c>
      <c r="E286" s="15">
        <v>30</v>
      </c>
      <c r="F286" s="12">
        <v>10</v>
      </c>
      <c r="G286" s="13">
        <v>20</v>
      </c>
      <c r="H286" s="15">
        <v>30</v>
      </c>
      <c r="I286" s="13">
        <v>20</v>
      </c>
      <c r="J286" s="13">
        <v>20</v>
      </c>
      <c r="K286" s="13">
        <v>20</v>
      </c>
      <c r="L286" s="13">
        <v>20</v>
      </c>
      <c r="M286" s="13">
        <v>20</v>
      </c>
      <c r="N286" s="15">
        <v>30</v>
      </c>
      <c r="O286" s="15">
        <v>30</v>
      </c>
    </row>
    <row r="287" spans="1:15" ht="16" x14ac:dyDescent="0.2">
      <c r="A287" s="10" t="s">
        <v>357</v>
      </c>
      <c r="B287" s="11">
        <v>20</v>
      </c>
      <c r="C287" s="3"/>
      <c r="D287" s="15">
        <v>30</v>
      </c>
      <c r="E287" s="15">
        <v>30</v>
      </c>
      <c r="F287" s="13">
        <v>20</v>
      </c>
      <c r="G287" s="13">
        <v>20</v>
      </c>
      <c r="H287" s="15">
        <v>30</v>
      </c>
      <c r="I287" s="12">
        <v>10</v>
      </c>
      <c r="J287" s="12">
        <v>10</v>
      </c>
      <c r="K287" s="13">
        <v>20</v>
      </c>
      <c r="L287" s="13">
        <v>20</v>
      </c>
      <c r="M287" s="12">
        <v>10</v>
      </c>
      <c r="N287" s="13">
        <v>20</v>
      </c>
      <c r="O287" s="13">
        <v>20</v>
      </c>
    </row>
    <row r="288" spans="1:15" ht="16" x14ac:dyDescent="0.2">
      <c r="A288" s="10" t="s">
        <v>358</v>
      </c>
      <c r="B288" s="11">
        <v>20</v>
      </c>
      <c r="C288" s="3"/>
      <c r="D288" s="12">
        <v>10</v>
      </c>
      <c r="E288" s="111">
        <v>30</v>
      </c>
      <c r="F288" s="111">
        <v>30</v>
      </c>
      <c r="G288" s="111">
        <v>30</v>
      </c>
      <c r="H288" s="15">
        <v>40</v>
      </c>
      <c r="I288" s="111">
        <v>30</v>
      </c>
      <c r="J288" s="13">
        <v>20</v>
      </c>
      <c r="K288" s="13">
        <v>20</v>
      </c>
      <c r="L288" s="12">
        <v>10</v>
      </c>
      <c r="M288" s="12">
        <v>10</v>
      </c>
      <c r="N288" s="12">
        <v>10</v>
      </c>
      <c r="O288" s="12">
        <v>10</v>
      </c>
    </row>
    <row r="289" spans="1:15" ht="16" x14ac:dyDescent="0.2">
      <c r="A289" s="10" t="s">
        <v>359</v>
      </c>
      <c r="B289" s="11">
        <v>20</v>
      </c>
      <c r="C289" s="3"/>
      <c r="D289" s="15">
        <v>30</v>
      </c>
      <c r="E289" s="13">
        <v>20</v>
      </c>
      <c r="F289" s="13">
        <v>20</v>
      </c>
      <c r="G289" s="13">
        <v>20</v>
      </c>
      <c r="H289" s="13">
        <v>20</v>
      </c>
      <c r="I289" s="13">
        <v>20</v>
      </c>
      <c r="J289" s="13">
        <v>20</v>
      </c>
      <c r="K289" s="15">
        <v>30</v>
      </c>
      <c r="L289" s="13">
        <v>20</v>
      </c>
      <c r="M289" s="12">
        <v>10</v>
      </c>
      <c r="N289" s="13">
        <v>20</v>
      </c>
      <c r="O289" s="13">
        <v>20</v>
      </c>
    </row>
    <row r="290" spans="1:15" ht="16" x14ac:dyDescent="0.2">
      <c r="A290" s="10" t="s">
        <v>360</v>
      </c>
      <c r="B290" s="11">
        <v>20</v>
      </c>
      <c r="C290" s="3"/>
      <c r="D290" s="54">
        <v>20</v>
      </c>
      <c r="E290" s="12">
        <v>10</v>
      </c>
      <c r="F290" s="54">
        <v>20</v>
      </c>
      <c r="G290" s="12">
        <v>10</v>
      </c>
      <c r="H290" s="12">
        <v>10</v>
      </c>
      <c r="I290" s="12">
        <v>10</v>
      </c>
      <c r="J290" s="12">
        <v>10</v>
      </c>
      <c r="K290" s="15">
        <v>40</v>
      </c>
      <c r="L290" s="54">
        <v>20</v>
      </c>
      <c r="M290" s="54">
        <v>20</v>
      </c>
      <c r="N290" s="12">
        <v>10</v>
      </c>
      <c r="O290" s="12">
        <v>10</v>
      </c>
    </row>
    <row r="291" spans="1:15" ht="16" x14ac:dyDescent="0.2">
      <c r="A291" s="10" t="s">
        <v>361</v>
      </c>
      <c r="B291" s="11">
        <v>20</v>
      </c>
      <c r="C291" s="3"/>
      <c r="D291" s="15">
        <v>30</v>
      </c>
      <c r="E291" s="111">
        <v>20</v>
      </c>
      <c r="F291" s="111">
        <v>20</v>
      </c>
      <c r="G291" s="12">
        <v>10</v>
      </c>
      <c r="H291" s="12">
        <v>10</v>
      </c>
      <c r="I291" s="12">
        <v>10</v>
      </c>
      <c r="J291" s="12">
        <v>10</v>
      </c>
      <c r="K291" s="12">
        <v>10</v>
      </c>
      <c r="L291" s="12">
        <v>10</v>
      </c>
      <c r="M291" s="111">
        <v>20</v>
      </c>
      <c r="N291" s="12">
        <v>10</v>
      </c>
      <c r="O291" s="12">
        <v>10</v>
      </c>
    </row>
    <row r="292" spans="1:15" ht="16" x14ac:dyDescent="0.2">
      <c r="A292" s="167" t="s">
        <v>362</v>
      </c>
      <c r="B292" s="90">
        <v>20</v>
      </c>
      <c r="C292" s="3"/>
      <c r="D292" s="121">
        <v>10</v>
      </c>
      <c r="E292" s="91">
        <v>30</v>
      </c>
      <c r="F292" s="128">
        <v>20</v>
      </c>
      <c r="G292" s="91">
        <v>30</v>
      </c>
      <c r="H292" s="91">
        <v>30</v>
      </c>
      <c r="I292" s="128">
        <v>20</v>
      </c>
      <c r="J292" s="121">
        <v>10</v>
      </c>
      <c r="K292" s="128">
        <v>20</v>
      </c>
      <c r="L292" s="128">
        <v>20</v>
      </c>
      <c r="M292" s="128">
        <v>20</v>
      </c>
      <c r="N292" s="128">
        <v>20</v>
      </c>
      <c r="O292" s="128">
        <v>20</v>
      </c>
    </row>
    <row r="293" spans="1:15" ht="16" x14ac:dyDescent="0.2">
      <c r="A293" s="10" t="s">
        <v>363</v>
      </c>
      <c r="B293" s="11">
        <v>20</v>
      </c>
      <c r="C293" s="3"/>
      <c r="D293" s="15">
        <v>30</v>
      </c>
      <c r="E293" s="111">
        <v>20</v>
      </c>
      <c r="F293" s="15">
        <v>30</v>
      </c>
      <c r="G293" s="111">
        <v>20</v>
      </c>
      <c r="H293" s="12">
        <v>10</v>
      </c>
      <c r="I293" s="12">
        <v>10</v>
      </c>
      <c r="J293" s="12">
        <v>10</v>
      </c>
      <c r="K293" s="12">
        <v>10</v>
      </c>
      <c r="L293" s="12">
        <v>10</v>
      </c>
      <c r="M293" s="111">
        <v>20</v>
      </c>
      <c r="N293" s="12">
        <v>10</v>
      </c>
      <c r="O293" s="12">
        <v>10</v>
      </c>
    </row>
    <row r="294" spans="1:15" ht="16" x14ac:dyDescent="0.2">
      <c r="A294" s="10" t="s">
        <v>364</v>
      </c>
      <c r="B294" s="11">
        <v>20</v>
      </c>
      <c r="C294" s="3"/>
      <c r="D294" s="54">
        <v>20</v>
      </c>
      <c r="E294" s="15">
        <v>30</v>
      </c>
      <c r="F294" s="54">
        <v>20</v>
      </c>
      <c r="G294" s="54">
        <v>20</v>
      </c>
      <c r="H294" s="54">
        <v>20</v>
      </c>
      <c r="I294" s="12">
        <v>10</v>
      </c>
      <c r="J294" s="15">
        <v>30</v>
      </c>
      <c r="K294" s="12">
        <v>10</v>
      </c>
      <c r="L294" s="12">
        <v>10</v>
      </c>
      <c r="M294" s="12">
        <v>10</v>
      </c>
      <c r="N294" s="12">
        <v>10</v>
      </c>
      <c r="O294" s="12">
        <v>10</v>
      </c>
    </row>
    <row r="295" spans="1:15" ht="16" x14ac:dyDescent="0.2">
      <c r="A295" s="10" t="s">
        <v>365</v>
      </c>
      <c r="B295" s="11">
        <v>20</v>
      </c>
      <c r="C295" s="3"/>
      <c r="D295" s="15">
        <v>30</v>
      </c>
      <c r="E295" s="15">
        <v>30</v>
      </c>
      <c r="F295" s="15">
        <v>30</v>
      </c>
      <c r="G295" s="12">
        <v>10</v>
      </c>
      <c r="H295" s="54">
        <v>20</v>
      </c>
      <c r="I295" s="12">
        <v>10</v>
      </c>
      <c r="J295" s="12">
        <v>10</v>
      </c>
      <c r="K295" s="54">
        <v>20</v>
      </c>
      <c r="L295" s="54">
        <v>20</v>
      </c>
      <c r="M295" s="12">
        <v>10</v>
      </c>
      <c r="N295" s="12">
        <v>10</v>
      </c>
      <c r="O295" s="12">
        <v>10</v>
      </c>
    </row>
    <row r="296" spans="1:15" ht="16" x14ac:dyDescent="0.2">
      <c r="A296" s="10" t="s">
        <v>366</v>
      </c>
      <c r="B296" s="11">
        <v>20</v>
      </c>
      <c r="C296" s="3"/>
      <c r="D296" s="54">
        <v>20</v>
      </c>
      <c r="E296" s="15">
        <v>30</v>
      </c>
      <c r="F296" s="54">
        <v>20</v>
      </c>
      <c r="G296" s="54">
        <v>20</v>
      </c>
      <c r="H296" s="54">
        <v>20</v>
      </c>
      <c r="I296" s="12">
        <v>10</v>
      </c>
      <c r="J296" s="15">
        <v>30</v>
      </c>
      <c r="K296" s="12">
        <v>10</v>
      </c>
      <c r="L296" s="12">
        <v>10</v>
      </c>
      <c r="M296" s="12">
        <v>10</v>
      </c>
      <c r="N296" s="12">
        <v>10</v>
      </c>
      <c r="O296" s="12">
        <v>10</v>
      </c>
    </row>
    <row r="297" spans="1:15" ht="16" x14ac:dyDescent="0.2">
      <c r="A297" s="10" t="s">
        <v>367</v>
      </c>
      <c r="B297" s="11">
        <v>20</v>
      </c>
      <c r="C297" s="3"/>
      <c r="D297" s="118">
        <v>20</v>
      </c>
      <c r="E297" s="118">
        <v>20</v>
      </c>
      <c r="F297" s="124">
        <v>30</v>
      </c>
      <c r="G297" s="12">
        <v>10</v>
      </c>
      <c r="H297" s="12">
        <v>10</v>
      </c>
      <c r="I297" s="12">
        <v>10</v>
      </c>
      <c r="J297" s="12">
        <v>10</v>
      </c>
      <c r="K297" s="124">
        <v>30</v>
      </c>
      <c r="L297" s="15">
        <v>90</v>
      </c>
      <c r="M297" s="124">
        <v>30</v>
      </c>
      <c r="N297" s="12">
        <v>10</v>
      </c>
      <c r="O297" s="12">
        <v>10</v>
      </c>
    </row>
    <row r="298" spans="1:15" ht="16" x14ac:dyDescent="0.2">
      <c r="A298" s="10" t="s">
        <v>368</v>
      </c>
      <c r="B298" s="11">
        <v>20</v>
      </c>
      <c r="C298" s="3"/>
      <c r="D298" s="12">
        <v>10</v>
      </c>
      <c r="E298" s="12">
        <v>10</v>
      </c>
      <c r="F298" s="12">
        <v>10</v>
      </c>
      <c r="G298" s="54">
        <v>30</v>
      </c>
      <c r="H298" s="13">
        <v>20</v>
      </c>
      <c r="I298" s="15">
        <v>50</v>
      </c>
      <c r="J298" s="12">
        <v>10</v>
      </c>
      <c r="K298" s="13">
        <v>20</v>
      </c>
      <c r="L298" s="54">
        <v>30</v>
      </c>
      <c r="M298" s="15">
        <v>50</v>
      </c>
      <c r="N298" s="13">
        <v>20</v>
      </c>
      <c r="O298" s="13">
        <v>20</v>
      </c>
    </row>
    <row r="299" spans="1:15" ht="16" x14ac:dyDescent="0.2">
      <c r="A299" s="10" t="s">
        <v>369</v>
      </c>
      <c r="B299" s="11">
        <v>20</v>
      </c>
      <c r="C299" s="3"/>
      <c r="D299" s="12">
        <v>10</v>
      </c>
      <c r="E299" s="13">
        <v>20</v>
      </c>
      <c r="F299" s="13">
        <v>20</v>
      </c>
      <c r="G299" s="13">
        <v>20</v>
      </c>
      <c r="H299" s="12">
        <v>10</v>
      </c>
      <c r="I299" s="12">
        <v>10</v>
      </c>
      <c r="J299" s="13">
        <v>20</v>
      </c>
      <c r="K299" s="15">
        <v>30</v>
      </c>
      <c r="L299" s="13">
        <v>20</v>
      </c>
      <c r="M299" s="13">
        <v>20</v>
      </c>
      <c r="N299" s="12">
        <v>10</v>
      </c>
      <c r="O299" s="12">
        <v>10</v>
      </c>
    </row>
    <row r="300" spans="1:15" ht="16" x14ac:dyDescent="0.2">
      <c r="A300" s="10" t="s">
        <v>370</v>
      </c>
      <c r="B300" s="11">
        <v>20</v>
      </c>
      <c r="C300" s="3"/>
      <c r="D300" s="12">
        <v>10</v>
      </c>
      <c r="E300" s="12">
        <v>10</v>
      </c>
      <c r="F300" s="15">
        <v>50</v>
      </c>
      <c r="G300" s="12">
        <v>10</v>
      </c>
      <c r="H300" s="115">
        <v>20</v>
      </c>
      <c r="I300" s="12">
        <v>10</v>
      </c>
      <c r="J300" s="15">
        <v>50</v>
      </c>
      <c r="K300" s="12">
        <v>10</v>
      </c>
      <c r="L300" s="12">
        <v>10</v>
      </c>
      <c r="M300" s="103">
        <v>30</v>
      </c>
      <c r="N300" s="15">
        <v>50</v>
      </c>
      <c r="O300" s="15">
        <v>50</v>
      </c>
    </row>
    <row r="301" spans="1:15" ht="16" x14ac:dyDescent="0.2">
      <c r="A301" s="10" t="s">
        <v>371</v>
      </c>
      <c r="B301" s="11">
        <v>20</v>
      </c>
      <c r="C301" s="3"/>
      <c r="D301" s="12">
        <v>10</v>
      </c>
      <c r="E301" s="111">
        <v>30</v>
      </c>
      <c r="F301" s="111">
        <v>30</v>
      </c>
      <c r="G301" s="15">
        <v>40</v>
      </c>
      <c r="H301" s="15">
        <v>40</v>
      </c>
      <c r="I301" s="13">
        <v>20</v>
      </c>
      <c r="J301" s="13">
        <v>20</v>
      </c>
      <c r="K301" s="12">
        <v>10</v>
      </c>
      <c r="L301" s="12">
        <v>10</v>
      </c>
      <c r="M301" s="13">
        <v>20</v>
      </c>
      <c r="N301" s="13">
        <v>20</v>
      </c>
      <c r="O301" s="13">
        <v>20</v>
      </c>
    </row>
    <row r="302" spans="1:15" ht="16" x14ac:dyDescent="0.2">
      <c r="A302" s="18" t="s">
        <v>372</v>
      </c>
      <c r="B302" s="11">
        <v>20</v>
      </c>
      <c r="C302" s="3"/>
      <c r="D302" s="12">
        <v>10</v>
      </c>
      <c r="E302" s="12">
        <v>10</v>
      </c>
      <c r="F302" s="12">
        <v>10</v>
      </c>
      <c r="G302" s="12">
        <v>10</v>
      </c>
      <c r="H302" s="12">
        <v>10</v>
      </c>
      <c r="I302" s="12">
        <v>10</v>
      </c>
      <c r="J302" s="12">
        <v>10</v>
      </c>
      <c r="K302" s="15">
        <v>40</v>
      </c>
      <c r="L302" s="54">
        <v>20</v>
      </c>
      <c r="M302" s="140">
        <v>30</v>
      </c>
      <c r="N302" s="54">
        <v>20</v>
      </c>
      <c r="O302" s="54">
        <v>20</v>
      </c>
    </row>
    <row r="303" spans="1:15" ht="16" x14ac:dyDescent="0.2">
      <c r="A303" s="18" t="s">
        <v>373</v>
      </c>
      <c r="B303" s="11">
        <v>20</v>
      </c>
      <c r="C303" s="3"/>
      <c r="D303" s="12">
        <v>10</v>
      </c>
      <c r="E303" s="15">
        <v>50</v>
      </c>
      <c r="F303" s="140">
        <v>40</v>
      </c>
      <c r="G303" s="13">
        <v>20</v>
      </c>
      <c r="H303" s="140">
        <v>40</v>
      </c>
      <c r="I303" s="13">
        <v>20</v>
      </c>
      <c r="J303" s="54">
        <v>30</v>
      </c>
      <c r="K303" s="12">
        <v>10</v>
      </c>
      <c r="L303" s="12">
        <v>10</v>
      </c>
      <c r="M303" s="140">
        <v>40</v>
      </c>
      <c r="N303" s="12">
        <v>10</v>
      </c>
      <c r="O303" s="12">
        <v>10</v>
      </c>
    </row>
    <row r="304" spans="1:15" ht="16" x14ac:dyDescent="0.2">
      <c r="A304" s="167" t="s">
        <v>375</v>
      </c>
      <c r="B304" s="90">
        <v>20</v>
      </c>
      <c r="C304" s="3"/>
      <c r="D304" s="175">
        <v>20</v>
      </c>
      <c r="E304" s="175">
        <v>20</v>
      </c>
      <c r="F304" s="175">
        <v>20</v>
      </c>
      <c r="G304" s="175">
        <v>20</v>
      </c>
      <c r="H304" s="176">
        <v>30</v>
      </c>
      <c r="I304" s="176">
        <v>30</v>
      </c>
      <c r="J304" s="175">
        <v>20</v>
      </c>
      <c r="K304" s="175">
        <v>20</v>
      </c>
      <c r="L304" s="175">
        <v>20</v>
      </c>
      <c r="M304" s="121">
        <v>10</v>
      </c>
      <c r="N304" s="175">
        <v>20</v>
      </c>
      <c r="O304" s="175">
        <v>20</v>
      </c>
    </row>
    <row r="305" spans="1:15" ht="16" x14ac:dyDescent="0.2">
      <c r="A305" s="10" t="s">
        <v>376</v>
      </c>
      <c r="B305" s="11">
        <v>20</v>
      </c>
      <c r="C305" s="3"/>
      <c r="D305" s="12">
        <v>10</v>
      </c>
      <c r="E305" s="15">
        <v>30</v>
      </c>
      <c r="F305" s="157">
        <v>20</v>
      </c>
      <c r="G305" s="12">
        <v>10</v>
      </c>
      <c r="H305" s="157">
        <v>20</v>
      </c>
      <c r="I305" s="12">
        <v>10</v>
      </c>
      <c r="J305" s="157">
        <v>20</v>
      </c>
      <c r="K305" s="12">
        <v>10</v>
      </c>
      <c r="L305" s="157">
        <v>20</v>
      </c>
      <c r="M305" s="12">
        <v>10</v>
      </c>
      <c r="N305" s="12">
        <v>10</v>
      </c>
      <c r="O305" s="12">
        <v>10</v>
      </c>
    </row>
    <row r="306" spans="1:15" ht="16" x14ac:dyDescent="0.2">
      <c r="A306" s="10" t="s">
        <v>377</v>
      </c>
      <c r="B306" s="11">
        <v>20</v>
      </c>
      <c r="C306" s="3"/>
      <c r="D306" s="12">
        <v>10</v>
      </c>
      <c r="E306" s="157">
        <v>30</v>
      </c>
      <c r="F306" s="157">
        <v>30</v>
      </c>
      <c r="G306" s="157">
        <v>30</v>
      </c>
      <c r="H306" s="15">
        <v>40</v>
      </c>
      <c r="I306" s="157">
        <v>30</v>
      </c>
      <c r="J306" s="24">
        <v>20</v>
      </c>
      <c r="K306" s="24">
        <v>20</v>
      </c>
      <c r="L306" s="12">
        <v>10</v>
      </c>
      <c r="M306" s="12">
        <v>10</v>
      </c>
      <c r="N306" s="12">
        <v>10</v>
      </c>
      <c r="O306" s="12">
        <v>10</v>
      </c>
    </row>
    <row r="307" spans="1:15" ht="16" x14ac:dyDescent="0.2">
      <c r="A307" s="10" t="s">
        <v>378</v>
      </c>
      <c r="B307" s="11">
        <v>20</v>
      </c>
      <c r="C307" s="3"/>
      <c r="D307" s="12">
        <v>10</v>
      </c>
      <c r="E307" s="12">
        <v>10</v>
      </c>
      <c r="F307" s="12">
        <v>10</v>
      </c>
      <c r="G307" s="12">
        <v>10</v>
      </c>
      <c r="H307" s="12">
        <v>10</v>
      </c>
      <c r="I307" s="12">
        <v>10</v>
      </c>
      <c r="J307" s="12">
        <v>10</v>
      </c>
      <c r="K307" s="177">
        <v>40</v>
      </c>
      <c r="L307" s="15">
        <v>50</v>
      </c>
      <c r="M307" s="12">
        <v>10</v>
      </c>
      <c r="N307" s="12">
        <v>10</v>
      </c>
      <c r="O307" s="12">
        <v>10</v>
      </c>
    </row>
    <row r="308" spans="1:15" ht="16" x14ac:dyDescent="0.2">
      <c r="A308" s="18" t="s">
        <v>379</v>
      </c>
      <c r="B308" s="11">
        <v>20</v>
      </c>
      <c r="C308" s="3"/>
      <c r="D308" s="155">
        <v>20</v>
      </c>
      <c r="E308" s="15">
        <v>30</v>
      </c>
      <c r="F308" s="155">
        <v>20</v>
      </c>
      <c r="G308" s="12">
        <v>10</v>
      </c>
      <c r="H308" s="12">
        <v>10</v>
      </c>
      <c r="I308" s="12">
        <v>10</v>
      </c>
      <c r="J308" s="155">
        <v>20</v>
      </c>
      <c r="K308" s="15">
        <v>30</v>
      </c>
      <c r="L308" s="155">
        <v>20</v>
      </c>
      <c r="M308" s="12">
        <v>10</v>
      </c>
      <c r="N308" s="12">
        <v>10</v>
      </c>
      <c r="O308" s="12">
        <v>10</v>
      </c>
    </row>
    <row r="309" spans="1:15" ht="16" x14ac:dyDescent="0.2">
      <c r="A309" s="18" t="s">
        <v>380</v>
      </c>
      <c r="B309" s="11">
        <v>10</v>
      </c>
      <c r="C309" s="3"/>
      <c r="D309" s="15">
        <v>10</v>
      </c>
      <c r="E309" s="12">
        <v>0</v>
      </c>
      <c r="F309" s="12">
        <v>0</v>
      </c>
      <c r="G309" s="12">
        <v>0</v>
      </c>
      <c r="H309" s="15">
        <v>10</v>
      </c>
      <c r="I309" s="15">
        <v>10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</row>
    <row r="310" spans="1:15" ht="16" x14ac:dyDescent="0.2">
      <c r="A310" s="10" t="s">
        <v>381</v>
      </c>
      <c r="B310" s="11">
        <v>10</v>
      </c>
      <c r="C310" s="3"/>
      <c r="D310" s="15">
        <v>10</v>
      </c>
      <c r="E310" s="15">
        <v>10</v>
      </c>
      <c r="F310" s="15">
        <v>10</v>
      </c>
      <c r="G310" s="15">
        <v>10</v>
      </c>
      <c r="H310" s="12">
        <v>0</v>
      </c>
      <c r="I310" s="12">
        <v>0</v>
      </c>
      <c r="J310" s="15">
        <v>10</v>
      </c>
      <c r="K310" s="15">
        <v>10</v>
      </c>
      <c r="L310" s="15">
        <v>10</v>
      </c>
      <c r="M310" s="15">
        <v>10</v>
      </c>
      <c r="N310" s="12">
        <v>0</v>
      </c>
      <c r="O310" s="12">
        <v>0</v>
      </c>
    </row>
    <row r="311" spans="1:15" ht="16" x14ac:dyDescent="0.2">
      <c r="A311" s="10" t="s">
        <v>382</v>
      </c>
      <c r="B311" s="11">
        <v>10</v>
      </c>
      <c r="C311" s="3"/>
      <c r="D311" s="15">
        <v>10</v>
      </c>
      <c r="E311" s="12">
        <v>0</v>
      </c>
      <c r="F311" s="15">
        <v>10</v>
      </c>
      <c r="G311" s="15">
        <v>10</v>
      </c>
      <c r="H311" s="15">
        <v>10</v>
      </c>
      <c r="I311" s="15">
        <v>10</v>
      </c>
      <c r="J311" s="15">
        <v>10</v>
      </c>
      <c r="K311" s="15">
        <v>10</v>
      </c>
      <c r="L311" s="15">
        <v>10</v>
      </c>
      <c r="M311" s="15">
        <v>10</v>
      </c>
      <c r="N311" s="15">
        <v>10</v>
      </c>
      <c r="O311" s="15">
        <v>10</v>
      </c>
    </row>
    <row r="312" spans="1:15" ht="16" x14ac:dyDescent="0.2">
      <c r="A312" s="10" t="s">
        <v>383</v>
      </c>
      <c r="B312" s="11">
        <v>10</v>
      </c>
      <c r="C312" s="3"/>
      <c r="D312" s="15">
        <v>10</v>
      </c>
      <c r="E312" s="15">
        <v>10</v>
      </c>
      <c r="F312" s="15">
        <v>10</v>
      </c>
      <c r="G312" s="15">
        <v>10</v>
      </c>
      <c r="H312" s="15">
        <v>10</v>
      </c>
      <c r="I312" s="15">
        <v>10</v>
      </c>
      <c r="J312" s="12">
        <v>0</v>
      </c>
      <c r="K312" s="15">
        <v>10</v>
      </c>
      <c r="L312" s="15">
        <v>10</v>
      </c>
      <c r="M312" s="15">
        <v>10</v>
      </c>
      <c r="N312" s="12">
        <v>0</v>
      </c>
      <c r="O312" s="12">
        <v>0</v>
      </c>
    </row>
    <row r="313" spans="1:15" ht="16" x14ac:dyDescent="0.2">
      <c r="A313" s="10" t="s">
        <v>384</v>
      </c>
      <c r="B313" s="11">
        <v>10</v>
      </c>
      <c r="C313" s="3"/>
      <c r="D313" s="15">
        <v>10</v>
      </c>
      <c r="E313" s="15">
        <v>10</v>
      </c>
      <c r="F313" s="15">
        <v>10</v>
      </c>
      <c r="G313" s="15">
        <v>10</v>
      </c>
      <c r="H313" s="15">
        <v>10</v>
      </c>
      <c r="I313" s="15">
        <v>10</v>
      </c>
      <c r="J313" s="15">
        <v>10</v>
      </c>
      <c r="K313" s="15">
        <v>10</v>
      </c>
      <c r="L313" s="15">
        <v>10</v>
      </c>
      <c r="M313" s="15">
        <v>10</v>
      </c>
      <c r="N313" s="15">
        <v>10</v>
      </c>
      <c r="O313" s="15">
        <v>10</v>
      </c>
    </row>
    <row r="314" spans="1:15" ht="16" x14ac:dyDescent="0.2">
      <c r="A314" s="10" t="s">
        <v>385</v>
      </c>
      <c r="B314" s="11">
        <v>10</v>
      </c>
      <c r="C314" s="3"/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5">
        <v>10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</row>
    <row r="315" spans="1:15" ht="16" x14ac:dyDescent="0.2">
      <c r="A315" s="10" t="s">
        <v>386</v>
      </c>
      <c r="B315" s="11">
        <v>10</v>
      </c>
      <c r="C315" s="3"/>
      <c r="D315" s="12">
        <v>0</v>
      </c>
      <c r="E315" s="15">
        <v>10</v>
      </c>
      <c r="F315" s="12">
        <v>0</v>
      </c>
      <c r="G315" s="12">
        <v>0</v>
      </c>
      <c r="H315" s="12">
        <v>0</v>
      </c>
      <c r="I315" s="12">
        <v>0</v>
      </c>
      <c r="J315" s="15">
        <v>10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</row>
    <row r="316" spans="1:15" ht="16" x14ac:dyDescent="0.2">
      <c r="A316" s="10" t="s">
        <v>387</v>
      </c>
      <c r="B316" s="11">
        <v>10</v>
      </c>
      <c r="C316" s="3"/>
      <c r="D316" s="15">
        <v>10</v>
      </c>
      <c r="E316" s="15">
        <v>10</v>
      </c>
      <c r="F316" s="15">
        <v>10</v>
      </c>
      <c r="G316" s="15">
        <v>10</v>
      </c>
      <c r="H316" s="15">
        <v>10</v>
      </c>
      <c r="I316" s="15">
        <v>10</v>
      </c>
      <c r="J316" s="15">
        <v>10</v>
      </c>
      <c r="K316" s="12">
        <v>0</v>
      </c>
      <c r="L316" s="12">
        <v>0</v>
      </c>
      <c r="M316" s="12">
        <v>0</v>
      </c>
      <c r="N316" s="15">
        <v>10</v>
      </c>
      <c r="O316" s="15">
        <v>10</v>
      </c>
    </row>
    <row r="317" spans="1:15" ht="16" x14ac:dyDescent="0.2">
      <c r="A317" s="10" t="s">
        <v>388</v>
      </c>
      <c r="B317" s="11">
        <v>10</v>
      </c>
      <c r="C317" s="3"/>
      <c r="D317" s="12">
        <v>10</v>
      </c>
      <c r="E317" s="12">
        <v>10</v>
      </c>
      <c r="F317" s="15">
        <v>40</v>
      </c>
      <c r="G317" s="12">
        <v>10</v>
      </c>
      <c r="H317" s="12">
        <v>10</v>
      </c>
      <c r="I317" s="12">
        <v>10</v>
      </c>
      <c r="J317" s="12">
        <v>10</v>
      </c>
      <c r="K317" s="12">
        <v>10</v>
      </c>
      <c r="L317" s="54">
        <v>20</v>
      </c>
      <c r="M317" s="12">
        <v>10</v>
      </c>
      <c r="N317" s="12">
        <v>10</v>
      </c>
      <c r="O317" s="12">
        <v>10</v>
      </c>
    </row>
    <row r="318" spans="1:15" ht="16" x14ac:dyDescent="0.2">
      <c r="A318" s="10" t="s">
        <v>389</v>
      </c>
      <c r="B318" s="11">
        <v>10</v>
      </c>
      <c r="C318" s="3"/>
      <c r="D318" s="12">
        <v>0</v>
      </c>
      <c r="E318" s="15">
        <v>10</v>
      </c>
      <c r="F318" s="15">
        <v>10</v>
      </c>
      <c r="G318" s="15">
        <v>10</v>
      </c>
      <c r="H318" s="12">
        <v>0</v>
      </c>
      <c r="I318" s="15">
        <v>10</v>
      </c>
      <c r="J318" s="15">
        <v>10</v>
      </c>
      <c r="K318" s="15">
        <v>10</v>
      </c>
      <c r="L318" s="12">
        <v>0</v>
      </c>
      <c r="M318" s="12">
        <v>0</v>
      </c>
      <c r="N318" s="15">
        <v>10</v>
      </c>
      <c r="O318" s="15">
        <v>10</v>
      </c>
    </row>
    <row r="319" spans="1:15" ht="16" x14ac:dyDescent="0.2">
      <c r="A319" s="10" t="s">
        <v>390</v>
      </c>
      <c r="B319" s="11">
        <v>10</v>
      </c>
      <c r="C319" s="3"/>
      <c r="D319" s="15">
        <v>10</v>
      </c>
      <c r="E319" s="15">
        <v>10</v>
      </c>
      <c r="F319" s="15">
        <v>10</v>
      </c>
      <c r="G319" s="15">
        <v>10</v>
      </c>
      <c r="H319" s="15">
        <v>10</v>
      </c>
      <c r="I319" s="15">
        <v>10</v>
      </c>
      <c r="J319" s="15">
        <v>10</v>
      </c>
      <c r="K319" s="15">
        <v>10</v>
      </c>
      <c r="L319" s="15">
        <v>10</v>
      </c>
      <c r="M319" s="15">
        <v>10</v>
      </c>
      <c r="N319" s="15">
        <v>10</v>
      </c>
      <c r="O319" s="15">
        <v>10</v>
      </c>
    </row>
    <row r="320" spans="1:15" ht="16" x14ac:dyDescent="0.2">
      <c r="A320" s="10" t="s">
        <v>391</v>
      </c>
      <c r="B320" s="11">
        <v>10</v>
      </c>
      <c r="C320" s="3"/>
      <c r="D320" s="15">
        <v>10</v>
      </c>
      <c r="E320" s="15">
        <v>10</v>
      </c>
      <c r="F320" s="15">
        <v>10</v>
      </c>
      <c r="G320" s="15">
        <v>10</v>
      </c>
      <c r="H320" s="15">
        <v>10</v>
      </c>
      <c r="I320" s="15">
        <v>10</v>
      </c>
      <c r="J320" s="15">
        <v>10</v>
      </c>
      <c r="K320" s="15">
        <v>10</v>
      </c>
      <c r="L320" s="15">
        <v>10</v>
      </c>
      <c r="M320" s="15">
        <v>10</v>
      </c>
      <c r="N320" s="15">
        <v>10</v>
      </c>
      <c r="O320" s="15">
        <v>10</v>
      </c>
    </row>
    <row r="321" spans="1:15" ht="16" x14ac:dyDescent="0.2">
      <c r="A321" s="10" t="s">
        <v>392</v>
      </c>
      <c r="B321" s="11">
        <v>10</v>
      </c>
      <c r="C321" s="3"/>
      <c r="D321" s="12">
        <v>0</v>
      </c>
      <c r="E321" s="12">
        <v>0</v>
      </c>
      <c r="F321" s="15">
        <v>10</v>
      </c>
      <c r="G321" s="12">
        <v>0</v>
      </c>
      <c r="H321" s="15">
        <v>10</v>
      </c>
      <c r="I321" s="12">
        <v>0</v>
      </c>
      <c r="J321" s="15">
        <v>10</v>
      </c>
      <c r="K321" s="12">
        <v>0</v>
      </c>
      <c r="L321" s="15">
        <v>10</v>
      </c>
      <c r="M321" s="12">
        <v>0</v>
      </c>
      <c r="N321" s="12">
        <v>0</v>
      </c>
      <c r="O321" s="12">
        <v>0</v>
      </c>
    </row>
    <row r="322" spans="1:15" ht="16" x14ac:dyDescent="0.2">
      <c r="A322" s="10" t="s">
        <v>393</v>
      </c>
      <c r="B322" s="11">
        <v>10</v>
      </c>
      <c r="C322" s="3"/>
      <c r="D322" s="15">
        <v>20</v>
      </c>
      <c r="E322" s="13">
        <v>10</v>
      </c>
      <c r="F322" s="13">
        <v>10</v>
      </c>
      <c r="G322" s="13">
        <v>10</v>
      </c>
      <c r="H322" s="13">
        <v>10</v>
      </c>
      <c r="I322" s="13">
        <v>10</v>
      </c>
      <c r="J322" s="13">
        <v>10</v>
      </c>
      <c r="K322" s="12">
        <v>0</v>
      </c>
      <c r="L322" s="13">
        <v>10</v>
      </c>
      <c r="M322" s="13">
        <v>10</v>
      </c>
      <c r="N322" s="13">
        <v>10</v>
      </c>
      <c r="O322" s="13">
        <v>10</v>
      </c>
    </row>
    <row r="323" spans="1:15" ht="16" x14ac:dyDescent="0.2">
      <c r="A323" s="10" t="s">
        <v>394</v>
      </c>
      <c r="B323" s="11">
        <v>10</v>
      </c>
      <c r="C323" s="3"/>
      <c r="D323" s="12">
        <v>10</v>
      </c>
      <c r="E323" s="15">
        <v>20</v>
      </c>
      <c r="F323" s="12">
        <v>10</v>
      </c>
      <c r="G323" s="15">
        <v>20</v>
      </c>
      <c r="H323" s="12">
        <v>10</v>
      </c>
      <c r="I323" s="12">
        <v>10</v>
      </c>
      <c r="J323" s="12">
        <v>10</v>
      </c>
      <c r="K323" s="12">
        <v>10</v>
      </c>
      <c r="L323" s="12">
        <v>10</v>
      </c>
      <c r="M323" s="12">
        <v>10</v>
      </c>
      <c r="N323" s="12">
        <v>10</v>
      </c>
      <c r="O323" s="12">
        <v>10</v>
      </c>
    </row>
    <row r="324" spans="1:15" ht="16" x14ac:dyDescent="0.2">
      <c r="A324" s="10" t="s">
        <v>395</v>
      </c>
      <c r="B324" s="11">
        <v>10</v>
      </c>
      <c r="C324" s="3"/>
      <c r="D324" s="15">
        <v>10</v>
      </c>
      <c r="E324" s="15">
        <v>10</v>
      </c>
      <c r="F324" s="15">
        <v>10</v>
      </c>
      <c r="G324" s="15">
        <v>10</v>
      </c>
      <c r="H324" s="15">
        <v>10</v>
      </c>
      <c r="I324" s="15">
        <v>10</v>
      </c>
      <c r="J324" s="15">
        <v>10</v>
      </c>
      <c r="K324" s="15">
        <v>10</v>
      </c>
      <c r="L324" s="15">
        <v>10</v>
      </c>
      <c r="M324" s="15">
        <v>10</v>
      </c>
      <c r="N324" s="15">
        <v>10</v>
      </c>
      <c r="O324" s="15">
        <v>10</v>
      </c>
    </row>
    <row r="325" spans="1:15" ht="16" x14ac:dyDescent="0.2">
      <c r="A325" s="10" t="s">
        <v>396</v>
      </c>
      <c r="B325" s="11">
        <v>10</v>
      </c>
      <c r="C325" s="3"/>
      <c r="D325" s="15">
        <v>10</v>
      </c>
      <c r="E325" s="15">
        <v>10</v>
      </c>
      <c r="F325" s="12">
        <v>0</v>
      </c>
      <c r="G325" s="15">
        <v>10</v>
      </c>
      <c r="H325" s="15">
        <v>10</v>
      </c>
      <c r="I325" s="15">
        <v>10</v>
      </c>
      <c r="J325" s="15">
        <v>10</v>
      </c>
      <c r="K325" s="15">
        <v>10</v>
      </c>
      <c r="L325" s="15">
        <v>10</v>
      </c>
      <c r="M325" s="15">
        <v>10</v>
      </c>
      <c r="N325" s="15">
        <v>10</v>
      </c>
      <c r="O325" s="15">
        <v>10</v>
      </c>
    </row>
    <row r="326" spans="1:15" ht="16" x14ac:dyDescent="0.2">
      <c r="A326" s="10" t="s">
        <v>397</v>
      </c>
      <c r="B326" s="11">
        <v>10</v>
      </c>
      <c r="C326" s="3"/>
      <c r="D326" s="15">
        <v>20</v>
      </c>
      <c r="E326" s="12">
        <v>10</v>
      </c>
      <c r="F326" s="12">
        <v>10</v>
      </c>
      <c r="G326" s="12">
        <v>10</v>
      </c>
      <c r="H326" s="15">
        <v>20</v>
      </c>
      <c r="I326" s="12">
        <v>10</v>
      </c>
      <c r="J326" s="12">
        <v>10</v>
      </c>
      <c r="K326" s="15">
        <v>20</v>
      </c>
      <c r="L326" s="12">
        <v>10</v>
      </c>
      <c r="M326" s="12">
        <v>10</v>
      </c>
      <c r="N326" s="12">
        <v>10</v>
      </c>
      <c r="O326" s="12">
        <v>10</v>
      </c>
    </row>
    <row r="327" spans="1:15" ht="16" x14ac:dyDescent="0.2">
      <c r="A327" s="10" t="s">
        <v>398</v>
      </c>
      <c r="B327" s="11">
        <v>10</v>
      </c>
      <c r="C327" s="3"/>
      <c r="D327" s="12">
        <v>10</v>
      </c>
      <c r="E327" s="12">
        <v>10</v>
      </c>
      <c r="F327" s="15">
        <v>20</v>
      </c>
      <c r="G327" s="12">
        <v>10</v>
      </c>
      <c r="H327" s="15">
        <v>20</v>
      </c>
      <c r="I327" s="12">
        <v>10</v>
      </c>
      <c r="J327" s="12">
        <v>10</v>
      </c>
      <c r="K327" s="12">
        <v>10</v>
      </c>
      <c r="L327" s="12">
        <v>10</v>
      </c>
      <c r="M327" s="12">
        <v>10</v>
      </c>
      <c r="N327" s="12">
        <v>10</v>
      </c>
      <c r="O327" s="12">
        <v>10</v>
      </c>
    </row>
    <row r="328" spans="1:15" ht="16" x14ac:dyDescent="0.2">
      <c r="A328" s="18" t="s">
        <v>399</v>
      </c>
      <c r="B328" s="11">
        <v>10</v>
      </c>
      <c r="C328" s="3"/>
      <c r="D328" s="78">
        <v>20</v>
      </c>
      <c r="E328" s="15">
        <v>50</v>
      </c>
      <c r="F328" s="13">
        <v>10</v>
      </c>
      <c r="G328" s="13">
        <v>10</v>
      </c>
      <c r="H328" s="13">
        <v>10</v>
      </c>
      <c r="I328" s="13">
        <v>10</v>
      </c>
      <c r="J328" s="12">
        <v>0</v>
      </c>
      <c r="K328" s="13">
        <v>10</v>
      </c>
      <c r="L328" s="13">
        <v>10</v>
      </c>
      <c r="M328" s="13">
        <v>10</v>
      </c>
      <c r="N328" s="13">
        <v>10</v>
      </c>
      <c r="O328" s="13">
        <v>10</v>
      </c>
    </row>
    <row r="329" spans="1:15" ht="16" x14ac:dyDescent="0.2">
      <c r="A329" s="18" t="s">
        <v>400</v>
      </c>
      <c r="B329" s="11">
        <v>10</v>
      </c>
      <c r="C329" s="3"/>
      <c r="D329" s="12">
        <v>10</v>
      </c>
      <c r="E329" s="12">
        <v>10</v>
      </c>
      <c r="F329" s="12">
        <v>10</v>
      </c>
      <c r="G329" s="12">
        <v>10</v>
      </c>
      <c r="H329" s="111">
        <v>30</v>
      </c>
      <c r="I329" s="15">
        <v>50</v>
      </c>
      <c r="J329" s="111">
        <v>30</v>
      </c>
      <c r="K329" s="12">
        <v>10</v>
      </c>
      <c r="L329" s="12">
        <v>10</v>
      </c>
      <c r="M329" s="12">
        <v>10</v>
      </c>
      <c r="N329" s="12">
        <v>10</v>
      </c>
      <c r="O329" s="12">
        <v>10</v>
      </c>
    </row>
    <row r="330" spans="1:15" ht="16" x14ac:dyDescent="0.2">
      <c r="A330" s="10" t="s">
        <v>401</v>
      </c>
      <c r="B330" s="11">
        <v>10</v>
      </c>
      <c r="C330" s="3"/>
      <c r="D330" s="12">
        <v>10</v>
      </c>
      <c r="E330" s="12">
        <v>10</v>
      </c>
      <c r="F330" s="12">
        <v>10</v>
      </c>
      <c r="G330" s="12">
        <v>10</v>
      </c>
      <c r="H330" s="12">
        <v>10</v>
      </c>
      <c r="I330" s="12">
        <v>10</v>
      </c>
      <c r="J330" s="15">
        <v>20</v>
      </c>
      <c r="K330" s="12">
        <v>10</v>
      </c>
      <c r="L330" s="12">
        <v>10</v>
      </c>
      <c r="M330" s="12">
        <v>10</v>
      </c>
      <c r="N330" s="15">
        <v>20</v>
      </c>
      <c r="O330" s="15">
        <v>20</v>
      </c>
    </row>
    <row r="331" spans="1:15" ht="16" x14ac:dyDescent="0.2">
      <c r="A331" s="10" t="s">
        <v>402</v>
      </c>
      <c r="B331" s="11">
        <v>10</v>
      </c>
      <c r="C331" s="3"/>
      <c r="D331" s="13">
        <v>10</v>
      </c>
      <c r="E331" s="13">
        <v>10</v>
      </c>
      <c r="F331" s="12">
        <v>0</v>
      </c>
      <c r="G331" s="12">
        <v>0</v>
      </c>
      <c r="H331" s="13">
        <v>10</v>
      </c>
      <c r="I331" s="13">
        <v>10</v>
      </c>
      <c r="J331" s="13">
        <v>10</v>
      </c>
      <c r="K331" s="12">
        <v>0</v>
      </c>
      <c r="L331" s="13">
        <v>10</v>
      </c>
      <c r="M331" s="12">
        <v>0</v>
      </c>
      <c r="N331" s="15">
        <v>50</v>
      </c>
      <c r="O331" s="15">
        <v>50</v>
      </c>
    </row>
    <row r="332" spans="1:15" ht="16" x14ac:dyDescent="0.2">
      <c r="A332" s="10" t="s">
        <v>403</v>
      </c>
      <c r="B332" s="11">
        <v>10</v>
      </c>
      <c r="C332" s="3"/>
      <c r="D332" s="12">
        <v>10</v>
      </c>
      <c r="E332" s="12">
        <v>10</v>
      </c>
      <c r="F332" s="12">
        <v>10</v>
      </c>
      <c r="G332" s="12">
        <v>10</v>
      </c>
      <c r="H332" s="54">
        <v>20</v>
      </c>
      <c r="I332" s="12">
        <v>10</v>
      </c>
      <c r="J332" s="12">
        <v>10</v>
      </c>
      <c r="K332" s="12">
        <v>10</v>
      </c>
      <c r="L332" s="54">
        <v>20</v>
      </c>
      <c r="M332" s="15">
        <v>40</v>
      </c>
      <c r="N332" s="54">
        <v>20</v>
      </c>
      <c r="O332" s="54">
        <v>20</v>
      </c>
    </row>
    <row r="333" spans="1:15" ht="16" x14ac:dyDescent="0.2">
      <c r="A333" s="10" t="s">
        <v>404</v>
      </c>
      <c r="B333" s="11">
        <v>10</v>
      </c>
      <c r="C333" s="3"/>
      <c r="D333" s="15">
        <v>10</v>
      </c>
      <c r="E333" s="15">
        <v>10</v>
      </c>
      <c r="F333" s="15">
        <v>10</v>
      </c>
      <c r="G333" s="15">
        <v>10</v>
      </c>
      <c r="H333" s="15">
        <v>10</v>
      </c>
      <c r="I333" s="15">
        <v>10</v>
      </c>
      <c r="J333" s="15">
        <v>10</v>
      </c>
      <c r="K333" s="15">
        <v>10</v>
      </c>
      <c r="L333" s="15">
        <v>10</v>
      </c>
      <c r="M333" s="15">
        <v>10</v>
      </c>
      <c r="N333" s="15">
        <v>10</v>
      </c>
      <c r="O333" s="15">
        <v>10</v>
      </c>
    </row>
    <row r="334" spans="1:15" ht="16" x14ac:dyDescent="0.2">
      <c r="A334" s="10" t="s">
        <v>405</v>
      </c>
      <c r="B334" s="11">
        <v>10</v>
      </c>
      <c r="C334" s="3"/>
      <c r="D334" s="15">
        <v>10</v>
      </c>
      <c r="E334" s="15">
        <v>10</v>
      </c>
      <c r="F334" s="15">
        <v>10</v>
      </c>
      <c r="G334" s="15">
        <v>10</v>
      </c>
      <c r="H334" s="15">
        <v>10</v>
      </c>
      <c r="I334" s="15">
        <v>10</v>
      </c>
      <c r="J334" s="15">
        <v>10</v>
      </c>
      <c r="K334" s="15">
        <v>10</v>
      </c>
      <c r="L334" s="15">
        <v>10</v>
      </c>
      <c r="M334" s="12">
        <v>0</v>
      </c>
      <c r="N334" s="12">
        <v>0</v>
      </c>
      <c r="O334" s="12">
        <v>0</v>
      </c>
    </row>
    <row r="335" spans="1:15" ht="16" x14ac:dyDescent="0.2">
      <c r="A335" s="10" t="s">
        <v>406</v>
      </c>
      <c r="B335" s="11">
        <v>10</v>
      </c>
      <c r="C335" s="3"/>
      <c r="D335" s="12">
        <v>10</v>
      </c>
      <c r="E335" s="12">
        <v>10</v>
      </c>
      <c r="F335" s="12">
        <v>10</v>
      </c>
      <c r="G335" s="12">
        <v>10</v>
      </c>
      <c r="H335" s="12">
        <v>10</v>
      </c>
      <c r="I335" s="12">
        <v>10</v>
      </c>
      <c r="J335" s="12">
        <v>10</v>
      </c>
      <c r="K335" s="15">
        <v>20</v>
      </c>
      <c r="L335" s="15">
        <v>20</v>
      </c>
      <c r="M335" s="15">
        <v>20</v>
      </c>
      <c r="N335" s="15">
        <v>20</v>
      </c>
      <c r="O335" s="15">
        <v>20</v>
      </c>
    </row>
    <row r="336" spans="1:15" ht="16" x14ac:dyDescent="0.2">
      <c r="A336" s="10" t="s">
        <v>407</v>
      </c>
      <c r="B336" s="11">
        <v>10</v>
      </c>
      <c r="C336" s="3"/>
      <c r="D336" s="54">
        <v>20</v>
      </c>
      <c r="E336" s="15">
        <v>40</v>
      </c>
      <c r="F336" s="140">
        <v>30</v>
      </c>
      <c r="G336" s="12">
        <v>10</v>
      </c>
      <c r="H336" s="12">
        <v>10</v>
      </c>
      <c r="I336" s="12">
        <v>10</v>
      </c>
      <c r="J336" s="12">
        <v>10</v>
      </c>
      <c r="K336" s="12">
        <v>10</v>
      </c>
      <c r="L336" s="12">
        <v>10</v>
      </c>
      <c r="M336" s="12">
        <v>10</v>
      </c>
      <c r="N336" s="12">
        <v>10</v>
      </c>
      <c r="O336" s="12">
        <v>10</v>
      </c>
    </row>
    <row r="337" spans="1:15" ht="16" x14ac:dyDescent="0.2">
      <c r="A337" s="10" t="s">
        <v>408</v>
      </c>
      <c r="B337" s="11">
        <v>10</v>
      </c>
      <c r="C337" s="3"/>
      <c r="D337" s="12">
        <v>10</v>
      </c>
      <c r="E337" s="12">
        <v>10</v>
      </c>
      <c r="F337" s="12">
        <v>10</v>
      </c>
      <c r="G337" s="12">
        <v>10</v>
      </c>
      <c r="H337" s="12">
        <v>10</v>
      </c>
      <c r="I337" s="12">
        <v>10</v>
      </c>
      <c r="J337" s="12">
        <v>10</v>
      </c>
      <c r="K337" s="12">
        <v>10</v>
      </c>
      <c r="L337" s="15">
        <v>20</v>
      </c>
      <c r="M337" s="12">
        <v>10</v>
      </c>
      <c r="N337" s="12">
        <v>10</v>
      </c>
      <c r="O337" s="12">
        <v>10</v>
      </c>
    </row>
    <row r="338" spans="1:15" ht="16" x14ac:dyDescent="0.2">
      <c r="A338" s="10" t="s">
        <v>409</v>
      </c>
      <c r="B338" s="11">
        <v>10</v>
      </c>
      <c r="C338" s="3"/>
      <c r="D338" s="15">
        <v>20</v>
      </c>
      <c r="E338" s="12">
        <v>10</v>
      </c>
      <c r="F338" s="12">
        <v>10</v>
      </c>
      <c r="G338" s="15">
        <v>20</v>
      </c>
      <c r="H338" s="12">
        <v>10</v>
      </c>
      <c r="I338" s="12">
        <v>10</v>
      </c>
      <c r="J338" s="12">
        <v>10</v>
      </c>
      <c r="K338" s="12">
        <v>10</v>
      </c>
      <c r="L338" s="12">
        <v>10</v>
      </c>
      <c r="M338" s="12">
        <v>10</v>
      </c>
      <c r="N338" s="12">
        <v>10</v>
      </c>
      <c r="O338" s="12">
        <v>10</v>
      </c>
    </row>
    <row r="339" spans="1:15" ht="16" x14ac:dyDescent="0.2">
      <c r="A339" s="10" t="s">
        <v>410</v>
      </c>
      <c r="B339" s="11">
        <v>10</v>
      </c>
      <c r="C339" s="3"/>
      <c r="D339" s="15">
        <v>10</v>
      </c>
      <c r="E339" s="15">
        <v>10</v>
      </c>
      <c r="F339" s="15">
        <v>10</v>
      </c>
      <c r="G339" s="15">
        <v>10</v>
      </c>
      <c r="H339" s="15">
        <v>10</v>
      </c>
      <c r="I339" s="15">
        <v>10</v>
      </c>
      <c r="J339" s="15">
        <v>10</v>
      </c>
      <c r="K339" s="12">
        <v>0</v>
      </c>
      <c r="L339" s="15">
        <v>10</v>
      </c>
      <c r="M339" s="15">
        <v>10</v>
      </c>
      <c r="N339" s="15">
        <v>10</v>
      </c>
      <c r="O339" s="15">
        <v>10</v>
      </c>
    </row>
    <row r="340" spans="1:15" ht="16" x14ac:dyDescent="0.2">
      <c r="A340" s="10" t="s">
        <v>411</v>
      </c>
      <c r="B340" s="11">
        <v>10</v>
      </c>
      <c r="C340" s="3"/>
      <c r="D340" s="15">
        <v>10</v>
      </c>
      <c r="E340" s="15">
        <v>10</v>
      </c>
      <c r="F340" s="15">
        <v>10</v>
      </c>
      <c r="G340" s="15">
        <v>10</v>
      </c>
      <c r="H340" s="15">
        <v>10</v>
      </c>
      <c r="I340" s="15">
        <v>10</v>
      </c>
      <c r="J340" s="15">
        <v>10</v>
      </c>
      <c r="K340" s="15">
        <v>10</v>
      </c>
      <c r="L340" s="15">
        <v>10</v>
      </c>
      <c r="M340" s="15">
        <v>10</v>
      </c>
      <c r="N340" s="15">
        <v>10</v>
      </c>
      <c r="O340" s="15">
        <v>10</v>
      </c>
    </row>
    <row r="341" spans="1:15" ht="16" x14ac:dyDescent="0.2">
      <c r="A341" s="10" t="s">
        <v>412</v>
      </c>
      <c r="B341" s="11">
        <v>10</v>
      </c>
      <c r="C341" s="3"/>
      <c r="D341" s="15">
        <v>10</v>
      </c>
      <c r="E341" s="15">
        <v>10</v>
      </c>
      <c r="F341" s="15">
        <v>10</v>
      </c>
      <c r="G341" s="15">
        <v>10</v>
      </c>
      <c r="H341" s="12">
        <v>0</v>
      </c>
      <c r="I341" s="15">
        <v>10</v>
      </c>
      <c r="J341" s="15">
        <v>10</v>
      </c>
      <c r="K341" s="15">
        <v>10</v>
      </c>
      <c r="L341" s="15">
        <v>10</v>
      </c>
      <c r="M341" s="12">
        <v>0</v>
      </c>
      <c r="N341" s="12">
        <v>0</v>
      </c>
      <c r="O341" s="12">
        <v>0</v>
      </c>
    </row>
    <row r="342" spans="1:15" ht="16" x14ac:dyDescent="0.2">
      <c r="A342" s="18" t="s">
        <v>413</v>
      </c>
      <c r="B342" s="11">
        <v>10</v>
      </c>
      <c r="C342" s="3"/>
      <c r="D342" s="12">
        <v>10</v>
      </c>
      <c r="E342" s="12">
        <v>10</v>
      </c>
      <c r="F342" s="12">
        <v>10</v>
      </c>
      <c r="G342" s="54">
        <v>20</v>
      </c>
      <c r="H342" s="54">
        <v>20</v>
      </c>
      <c r="I342" s="54">
        <v>20</v>
      </c>
      <c r="J342" s="12">
        <v>10</v>
      </c>
      <c r="K342" s="12">
        <v>10</v>
      </c>
      <c r="L342" s="15">
        <v>40</v>
      </c>
      <c r="M342" s="12">
        <v>10</v>
      </c>
      <c r="N342" s="12">
        <v>10</v>
      </c>
      <c r="O342" s="12">
        <v>10</v>
      </c>
    </row>
    <row r="343" spans="1:15" ht="16" x14ac:dyDescent="0.2">
      <c r="A343" s="18" t="s">
        <v>414</v>
      </c>
      <c r="B343" s="11">
        <v>10</v>
      </c>
      <c r="C343" s="3"/>
      <c r="D343" s="15">
        <v>10</v>
      </c>
      <c r="E343" s="15">
        <v>10</v>
      </c>
      <c r="F343" s="12">
        <v>0</v>
      </c>
      <c r="G343" s="15">
        <v>10</v>
      </c>
      <c r="H343" s="15">
        <v>10</v>
      </c>
      <c r="I343" s="15">
        <v>10</v>
      </c>
      <c r="J343" s="15">
        <v>10</v>
      </c>
      <c r="K343" s="15">
        <v>10</v>
      </c>
      <c r="L343" s="15">
        <v>10</v>
      </c>
      <c r="M343" s="12">
        <v>0</v>
      </c>
      <c r="N343" s="15">
        <v>10</v>
      </c>
      <c r="O343" s="15">
        <v>10</v>
      </c>
    </row>
    <row r="344" spans="1:15" ht="16" x14ac:dyDescent="0.2">
      <c r="A344" s="18" t="s">
        <v>415</v>
      </c>
      <c r="B344" s="11">
        <v>10</v>
      </c>
      <c r="C344" s="3"/>
      <c r="D344" s="15">
        <v>10</v>
      </c>
      <c r="E344" s="15">
        <v>10</v>
      </c>
      <c r="F344" s="15">
        <v>10</v>
      </c>
      <c r="G344" s="12">
        <v>0</v>
      </c>
      <c r="H344" s="15">
        <v>10</v>
      </c>
      <c r="I344" s="15">
        <v>10</v>
      </c>
      <c r="J344" s="15">
        <v>10</v>
      </c>
      <c r="K344" s="15">
        <v>10</v>
      </c>
      <c r="L344" s="15">
        <v>10</v>
      </c>
      <c r="M344" s="15">
        <v>10</v>
      </c>
      <c r="N344" s="15">
        <v>10</v>
      </c>
      <c r="O344" s="15">
        <v>10</v>
      </c>
    </row>
    <row r="345" spans="1:15" ht="16" x14ac:dyDescent="0.2">
      <c r="A345" s="10" t="s">
        <v>416</v>
      </c>
      <c r="B345" s="11">
        <v>10</v>
      </c>
      <c r="C345" s="3"/>
      <c r="D345" s="15">
        <v>10</v>
      </c>
      <c r="E345" s="15">
        <v>10</v>
      </c>
      <c r="F345" s="15">
        <v>10</v>
      </c>
      <c r="G345" s="15">
        <v>10</v>
      </c>
      <c r="H345" s="15">
        <v>10</v>
      </c>
      <c r="I345" s="15">
        <v>10</v>
      </c>
      <c r="J345" s="15">
        <v>10</v>
      </c>
      <c r="K345" s="15">
        <v>10</v>
      </c>
      <c r="L345" s="15">
        <v>10</v>
      </c>
      <c r="M345" s="15">
        <v>10</v>
      </c>
      <c r="N345" s="15">
        <v>10</v>
      </c>
      <c r="O345" s="15">
        <v>10</v>
      </c>
    </row>
    <row r="346" spans="1:15" ht="16" x14ac:dyDescent="0.2">
      <c r="A346" s="10" t="s">
        <v>417</v>
      </c>
      <c r="B346" s="11">
        <v>10</v>
      </c>
      <c r="C346" s="3"/>
      <c r="D346" s="15">
        <v>10</v>
      </c>
      <c r="E346" s="15">
        <v>10</v>
      </c>
      <c r="F346" s="15">
        <v>10</v>
      </c>
      <c r="G346" s="15">
        <v>10</v>
      </c>
      <c r="H346" s="15">
        <v>10</v>
      </c>
      <c r="I346" s="15">
        <v>10</v>
      </c>
      <c r="J346" s="15">
        <v>10</v>
      </c>
      <c r="K346" s="12">
        <v>0</v>
      </c>
      <c r="L346" s="15">
        <v>10</v>
      </c>
      <c r="M346" s="15">
        <v>10</v>
      </c>
      <c r="N346" s="15">
        <v>10</v>
      </c>
      <c r="O346" s="15">
        <v>10</v>
      </c>
    </row>
    <row r="347" spans="1:15" ht="16" x14ac:dyDescent="0.2">
      <c r="A347" s="10" t="s">
        <v>418</v>
      </c>
      <c r="B347" s="11">
        <v>10</v>
      </c>
      <c r="C347" s="3"/>
      <c r="D347" s="15">
        <v>10</v>
      </c>
      <c r="E347" s="15">
        <v>10</v>
      </c>
      <c r="F347" s="15">
        <v>10</v>
      </c>
      <c r="G347" s="15">
        <v>10</v>
      </c>
      <c r="H347" s="15">
        <v>10</v>
      </c>
      <c r="I347" s="15">
        <v>10</v>
      </c>
      <c r="J347" s="15">
        <v>10</v>
      </c>
      <c r="K347" s="15">
        <v>10</v>
      </c>
      <c r="L347" s="15">
        <v>10</v>
      </c>
      <c r="M347" s="15">
        <v>10</v>
      </c>
      <c r="N347" s="15">
        <v>10</v>
      </c>
      <c r="O347" s="15">
        <v>10</v>
      </c>
    </row>
    <row r="348" spans="1:15" ht="16" x14ac:dyDescent="0.2">
      <c r="A348" s="10" t="s">
        <v>419</v>
      </c>
      <c r="B348" s="11">
        <v>10</v>
      </c>
      <c r="C348" s="3"/>
      <c r="D348" s="12">
        <v>10</v>
      </c>
      <c r="E348" s="12">
        <v>10</v>
      </c>
      <c r="F348" s="12">
        <v>10</v>
      </c>
      <c r="G348" s="15">
        <v>20</v>
      </c>
      <c r="H348" s="12">
        <v>10</v>
      </c>
      <c r="I348" s="12">
        <v>10</v>
      </c>
      <c r="J348" s="12">
        <v>10</v>
      </c>
      <c r="K348" s="12">
        <v>10</v>
      </c>
      <c r="L348" s="12">
        <v>10</v>
      </c>
      <c r="M348" s="12">
        <v>10</v>
      </c>
      <c r="N348" s="12">
        <v>10</v>
      </c>
      <c r="O348" s="12">
        <v>10</v>
      </c>
    </row>
    <row r="349" spans="1:15" ht="16" x14ac:dyDescent="0.2">
      <c r="A349" s="10" t="s">
        <v>420</v>
      </c>
      <c r="B349" s="11">
        <v>10</v>
      </c>
      <c r="C349" s="3"/>
      <c r="D349" s="15">
        <v>10</v>
      </c>
      <c r="E349" s="15">
        <v>10</v>
      </c>
      <c r="F349" s="15">
        <v>10</v>
      </c>
      <c r="G349" s="15">
        <v>10</v>
      </c>
      <c r="H349" s="15">
        <v>10</v>
      </c>
      <c r="I349" s="15">
        <v>10</v>
      </c>
      <c r="J349" s="15">
        <v>10</v>
      </c>
      <c r="K349" s="15">
        <v>10</v>
      </c>
      <c r="L349" s="15">
        <v>10</v>
      </c>
      <c r="M349" s="15">
        <v>10</v>
      </c>
      <c r="N349" s="15">
        <v>10</v>
      </c>
      <c r="O349" s="15">
        <v>10</v>
      </c>
    </row>
    <row r="350" spans="1:15" ht="16" x14ac:dyDescent="0.2">
      <c r="A350" s="18" t="s">
        <v>421</v>
      </c>
      <c r="B350" s="11">
        <v>10</v>
      </c>
      <c r="C350" s="3"/>
      <c r="D350" s="13">
        <v>10</v>
      </c>
      <c r="E350" s="12">
        <v>0</v>
      </c>
      <c r="F350" s="13">
        <v>10</v>
      </c>
      <c r="G350" s="13">
        <v>10</v>
      </c>
      <c r="H350" s="13">
        <v>10</v>
      </c>
      <c r="I350" s="13">
        <v>10</v>
      </c>
      <c r="J350" s="13">
        <v>10</v>
      </c>
      <c r="K350" s="13">
        <v>10</v>
      </c>
      <c r="L350" s="15">
        <v>20</v>
      </c>
      <c r="M350" s="13">
        <v>10</v>
      </c>
      <c r="N350" s="13">
        <v>10</v>
      </c>
      <c r="O350" s="13">
        <v>10</v>
      </c>
    </row>
    <row r="351" spans="1:15" ht="16" x14ac:dyDescent="0.2">
      <c r="A351" s="18" t="s">
        <v>422</v>
      </c>
      <c r="B351" s="11">
        <v>10</v>
      </c>
      <c r="C351" s="3"/>
      <c r="D351" s="15">
        <v>10</v>
      </c>
      <c r="E351" s="12">
        <v>0</v>
      </c>
      <c r="F351" s="12">
        <v>0</v>
      </c>
      <c r="G351" s="15">
        <v>10</v>
      </c>
      <c r="H351" s="15">
        <v>10</v>
      </c>
      <c r="I351" s="15">
        <v>10</v>
      </c>
      <c r="J351" s="15">
        <v>10</v>
      </c>
      <c r="K351" s="12">
        <v>0</v>
      </c>
      <c r="L351" s="15">
        <v>10</v>
      </c>
      <c r="M351" s="12">
        <v>0</v>
      </c>
      <c r="N351" s="12">
        <v>0</v>
      </c>
      <c r="O351" s="12">
        <v>0</v>
      </c>
    </row>
    <row r="352" spans="1:15" ht="16" x14ac:dyDescent="0.2">
      <c r="A352" s="10" t="s">
        <v>423</v>
      </c>
      <c r="B352" s="11">
        <v>10</v>
      </c>
      <c r="C352" s="3"/>
      <c r="D352" s="12">
        <v>10</v>
      </c>
      <c r="E352" s="12">
        <v>10</v>
      </c>
      <c r="F352" s="12">
        <v>10</v>
      </c>
      <c r="G352" s="15">
        <v>20</v>
      </c>
      <c r="H352" s="12">
        <v>10</v>
      </c>
      <c r="I352" s="12">
        <v>10</v>
      </c>
      <c r="J352" s="12">
        <v>10</v>
      </c>
      <c r="K352" s="12">
        <v>10</v>
      </c>
      <c r="L352" s="12">
        <v>10</v>
      </c>
      <c r="M352" s="12">
        <v>10</v>
      </c>
      <c r="N352" s="12">
        <v>10</v>
      </c>
      <c r="O352" s="12">
        <v>10</v>
      </c>
    </row>
    <row r="353" spans="1:15" ht="16" x14ac:dyDescent="0.2">
      <c r="A353" s="10" t="s">
        <v>424</v>
      </c>
      <c r="B353" s="11">
        <v>10</v>
      </c>
      <c r="C353" s="3"/>
      <c r="D353" s="12">
        <v>10</v>
      </c>
      <c r="E353" s="12">
        <v>10</v>
      </c>
      <c r="F353" s="12">
        <v>10</v>
      </c>
      <c r="G353" s="12">
        <v>10</v>
      </c>
      <c r="H353" s="15">
        <v>20</v>
      </c>
      <c r="I353" s="12">
        <v>10</v>
      </c>
      <c r="J353" s="12">
        <v>10</v>
      </c>
      <c r="K353" s="12">
        <v>10</v>
      </c>
      <c r="L353" s="12">
        <v>10</v>
      </c>
      <c r="M353" s="12">
        <v>10</v>
      </c>
      <c r="N353" s="12">
        <v>10</v>
      </c>
      <c r="O353" s="12">
        <v>10</v>
      </c>
    </row>
    <row r="354" spans="1:15" ht="16" x14ac:dyDescent="0.2">
      <c r="A354" s="10" t="s">
        <v>425</v>
      </c>
      <c r="B354" s="11">
        <v>10</v>
      </c>
      <c r="C354" s="3"/>
      <c r="D354" s="12">
        <v>0</v>
      </c>
      <c r="E354" s="15">
        <v>10</v>
      </c>
      <c r="F354" s="15">
        <v>10</v>
      </c>
      <c r="G354" s="12">
        <v>0</v>
      </c>
      <c r="H354" s="12">
        <v>0</v>
      </c>
      <c r="I354" s="12">
        <v>0</v>
      </c>
      <c r="J354" s="15">
        <v>10</v>
      </c>
      <c r="K354" s="15">
        <v>10</v>
      </c>
      <c r="L354" s="15">
        <v>10</v>
      </c>
      <c r="M354" s="15">
        <v>10</v>
      </c>
      <c r="N354" s="12">
        <v>0</v>
      </c>
      <c r="O354" s="12">
        <v>0</v>
      </c>
    </row>
    <row r="355" spans="1:15" ht="16" x14ac:dyDescent="0.2">
      <c r="A355" s="10" t="s">
        <v>426</v>
      </c>
      <c r="B355" s="11">
        <v>10</v>
      </c>
      <c r="C355" s="3"/>
      <c r="D355" s="12">
        <v>10</v>
      </c>
      <c r="E355" s="15">
        <v>20</v>
      </c>
      <c r="F355" s="12">
        <v>10</v>
      </c>
      <c r="G355" s="15">
        <v>20</v>
      </c>
      <c r="H355" s="12">
        <v>10</v>
      </c>
      <c r="I355" s="12">
        <v>10</v>
      </c>
      <c r="J355" s="15">
        <v>20</v>
      </c>
      <c r="K355" s="12">
        <v>10</v>
      </c>
      <c r="L355" s="12">
        <v>10</v>
      </c>
      <c r="M355" s="12">
        <v>10</v>
      </c>
      <c r="N355" s="12">
        <v>10</v>
      </c>
      <c r="O355" s="12">
        <v>10</v>
      </c>
    </row>
    <row r="356" spans="1:15" ht="16" x14ac:dyDescent="0.2">
      <c r="A356" s="10" t="s">
        <v>427</v>
      </c>
      <c r="B356" s="11">
        <v>10</v>
      </c>
      <c r="C356" s="3"/>
      <c r="D356" s="15">
        <v>10</v>
      </c>
      <c r="E356" s="15">
        <v>10</v>
      </c>
      <c r="F356" s="15">
        <v>10</v>
      </c>
      <c r="G356" s="15">
        <v>10</v>
      </c>
      <c r="H356" s="15">
        <v>10</v>
      </c>
      <c r="I356" s="15">
        <v>10</v>
      </c>
      <c r="J356" s="12">
        <v>0</v>
      </c>
      <c r="K356" s="15">
        <v>10</v>
      </c>
      <c r="L356" s="12">
        <v>0</v>
      </c>
      <c r="M356" s="15">
        <v>10</v>
      </c>
      <c r="N356" s="15">
        <v>10</v>
      </c>
      <c r="O356" s="15">
        <v>10</v>
      </c>
    </row>
    <row r="357" spans="1:15" ht="16" x14ac:dyDescent="0.2">
      <c r="A357" s="18" t="s">
        <v>428</v>
      </c>
      <c r="B357" s="11">
        <v>10</v>
      </c>
      <c r="C357" s="3"/>
      <c r="D357" s="12">
        <v>0</v>
      </c>
      <c r="E357" s="15">
        <v>10</v>
      </c>
      <c r="F357" s="15">
        <v>10</v>
      </c>
      <c r="G357" s="15">
        <v>10</v>
      </c>
      <c r="H357" s="12">
        <v>0</v>
      </c>
      <c r="I357" s="15">
        <v>10</v>
      </c>
      <c r="J357" s="15">
        <v>10</v>
      </c>
      <c r="K357" s="15">
        <v>10</v>
      </c>
      <c r="L357" s="12">
        <v>0</v>
      </c>
      <c r="M357" s="12">
        <v>0</v>
      </c>
      <c r="N357" s="12">
        <v>0</v>
      </c>
      <c r="O357" s="12">
        <v>0</v>
      </c>
    </row>
    <row r="358" spans="1:15" ht="16" x14ac:dyDescent="0.2">
      <c r="A358" s="18" t="s">
        <v>429</v>
      </c>
      <c r="B358" s="11">
        <v>10</v>
      </c>
      <c r="C358" s="3"/>
      <c r="D358" s="15">
        <v>20</v>
      </c>
      <c r="E358" s="12">
        <v>10</v>
      </c>
      <c r="F358" s="12">
        <v>10</v>
      </c>
      <c r="G358" s="15">
        <v>20</v>
      </c>
      <c r="H358" s="12">
        <v>10</v>
      </c>
      <c r="I358" s="12">
        <v>10</v>
      </c>
      <c r="J358" s="12">
        <v>10</v>
      </c>
      <c r="K358" s="12">
        <v>10</v>
      </c>
      <c r="L358" s="12">
        <v>10</v>
      </c>
      <c r="M358" s="12">
        <v>10</v>
      </c>
      <c r="N358" s="12">
        <v>10</v>
      </c>
      <c r="O358" s="12">
        <v>10</v>
      </c>
    </row>
    <row r="359" spans="1:15" ht="16" x14ac:dyDescent="0.2">
      <c r="A359" s="10" t="s">
        <v>430</v>
      </c>
      <c r="B359" s="11">
        <v>10</v>
      </c>
      <c r="C359" s="3"/>
      <c r="D359" s="15">
        <v>10</v>
      </c>
      <c r="E359" s="15">
        <v>10</v>
      </c>
      <c r="F359" s="15">
        <v>10</v>
      </c>
      <c r="G359" s="15">
        <v>10</v>
      </c>
      <c r="H359" s="15">
        <v>10</v>
      </c>
      <c r="I359" s="15">
        <v>10</v>
      </c>
      <c r="J359" s="15">
        <v>10</v>
      </c>
      <c r="K359" s="15">
        <v>10</v>
      </c>
      <c r="L359" s="15">
        <v>10</v>
      </c>
      <c r="M359" s="15">
        <v>10</v>
      </c>
      <c r="N359" s="12">
        <v>0</v>
      </c>
      <c r="O359" s="12">
        <v>0</v>
      </c>
    </row>
    <row r="360" spans="1:15" ht="16" x14ac:dyDescent="0.2">
      <c r="A360" s="144" t="s">
        <v>431</v>
      </c>
      <c r="B360" s="11">
        <v>10</v>
      </c>
      <c r="C360" s="3"/>
      <c r="D360" s="12">
        <v>10</v>
      </c>
      <c r="E360" s="15">
        <v>20</v>
      </c>
      <c r="F360" s="12">
        <v>10</v>
      </c>
      <c r="G360" s="15">
        <v>20</v>
      </c>
      <c r="H360" s="12">
        <v>10</v>
      </c>
      <c r="I360" s="15">
        <v>20</v>
      </c>
      <c r="J360" s="12">
        <v>10</v>
      </c>
      <c r="K360" s="12">
        <v>10</v>
      </c>
      <c r="L360" s="12">
        <v>10</v>
      </c>
      <c r="M360" s="15">
        <v>20</v>
      </c>
      <c r="N360" s="12">
        <v>10</v>
      </c>
      <c r="O360" s="12">
        <v>10</v>
      </c>
    </row>
    <row r="361" spans="1:15" ht="16" x14ac:dyDescent="0.2">
      <c r="A361" s="144" t="s">
        <v>432</v>
      </c>
      <c r="B361" s="11">
        <v>10</v>
      </c>
      <c r="C361" s="3"/>
      <c r="D361" s="15">
        <v>10</v>
      </c>
      <c r="E361" s="12">
        <v>0</v>
      </c>
      <c r="F361" s="12">
        <v>0</v>
      </c>
      <c r="G361" s="15">
        <v>10</v>
      </c>
      <c r="H361" s="15">
        <v>10</v>
      </c>
      <c r="I361" s="15">
        <v>10</v>
      </c>
      <c r="J361" s="12">
        <v>0</v>
      </c>
      <c r="K361" s="15">
        <v>10</v>
      </c>
      <c r="L361" s="12">
        <v>0</v>
      </c>
      <c r="M361" s="15">
        <v>10</v>
      </c>
      <c r="N361" s="15">
        <v>10</v>
      </c>
      <c r="O361" s="15">
        <v>10</v>
      </c>
    </row>
    <row r="362" spans="1:15" ht="16" x14ac:dyDescent="0.2">
      <c r="A362" s="127" t="s">
        <v>433</v>
      </c>
      <c r="B362" s="90">
        <v>10</v>
      </c>
      <c r="C362" s="3"/>
      <c r="D362" s="91">
        <v>10</v>
      </c>
      <c r="E362" s="121">
        <v>0</v>
      </c>
      <c r="F362" s="121">
        <v>0</v>
      </c>
      <c r="G362" s="121">
        <v>0</v>
      </c>
      <c r="H362" s="91">
        <v>10</v>
      </c>
      <c r="I362" s="121">
        <v>0</v>
      </c>
      <c r="J362" s="91">
        <v>10</v>
      </c>
      <c r="K362" s="91">
        <v>10</v>
      </c>
      <c r="L362" s="91">
        <v>10</v>
      </c>
      <c r="M362" s="91">
        <v>10</v>
      </c>
      <c r="N362" s="121">
        <v>0</v>
      </c>
      <c r="O362" s="121">
        <v>0</v>
      </c>
    </row>
    <row r="363" spans="1:15" ht="16" x14ac:dyDescent="0.2">
      <c r="A363" s="178" t="s">
        <v>434</v>
      </c>
      <c r="B363" s="11">
        <v>10</v>
      </c>
      <c r="C363" s="3"/>
      <c r="D363" s="13">
        <v>10</v>
      </c>
      <c r="E363" s="13">
        <v>10</v>
      </c>
      <c r="F363" s="15">
        <v>20</v>
      </c>
      <c r="G363" s="13">
        <v>10</v>
      </c>
      <c r="H363" s="13">
        <v>10</v>
      </c>
      <c r="I363" s="13">
        <v>10</v>
      </c>
      <c r="J363" s="13">
        <v>10</v>
      </c>
      <c r="K363" s="12">
        <v>0</v>
      </c>
      <c r="L363" s="13">
        <v>10</v>
      </c>
      <c r="M363" s="13">
        <v>10</v>
      </c>
      <c r="N363" s="13">
        <v>10</v>
      </c>
      <c r="O363" s="13">
        <v>10</v>
      </c>
    </row>
    <row r="364" spans="1:15" ht="16" x14ac:dyDescent="0.2">
      <c r="A364" s="179" t="s">
        <v>435</v>
      </c>
      <c r="B364" s="90">
        <v>10</v>
      </c>
      <c r="C364" s="3"/>
      <c r="D364" s="121">
        <v>0</v>
      </c>
      <c r="E364" s="121">
        <v>0</v>
      </c>
      <c r="F364" s="121">
        <v>0</v>
      </c>
      <c r="G364" s="121">
        <v>0</v>
      </c>
      <c r="H364" s="121">
        <v>0</v>
      </c>
      <c r="I364" s="91">
        <v>10</v>
      </c>
      <c r="J364" s="121">
        <v>0</v>
      </c>
      <c r="K364" s="121">
        <v>0</v>
      </c>
      <c r="L364" s="91">
        <v>10</v>
      </c>
      <c r="M364" s="91">
        <v>10</v>
      </c>
      <c r="N364" s="121">
        <v>0</v>
      </c>
      <c r="O364" s="121">
        <v>0</v>
      </c>
    </row>
    <row r="365" spans="1:15" ht="16" x14ac:dyDescent="0.2">
      <c r="A365" s="127" t="s">
        <v>436</v>
      </c>
      <c r="B365" s="90">
        <v>10</v>
      </c>
      <c r="C365" s="3"/>
      <c r="D365" s="121">
        <v>10</v>
      </c>
      <c r="E365" s="91">
        <v>20</v>
      </c>
      <c r="F365" s="121">
        <v>10</v>
      </c>
      <c r="G365" s="91">
        <v>20</v>
      </c>
      <c r="H365" s="121">
        <v>10</v>
      </c>
      <c r="I365" s="91">
        <v>20</v>
      </c>
      <c r="J365" s="121">
        <v>10</v>
      </c>
      <c r="K365" s="121">
        <v>10</v>
      </c>
      <c r="L365" s="121">
        <v>10</v>
      </c>
      <c r="M365" s="91">
        <v>20</v>
      </c>
      <c r="N365" s="121">
        <v>10</v>
      </c>
      <c r="O365" s="121">
        <v>10</v>
      </c>
    </row>
    <row r="366" spans="1:15" ht="16" x14ac:dyDescent="0.2">
      <c r="A366" s="10" t="s">
        <v>437</v>
      </c>
      <c r="B366" s="11">
        <v>10</v>
      </c>
      <c r="C366" s="3"/>
      <c r="D366" s="15">
        <v>10</v>
      </c>
      <c r="E366" s="15">
        <v>10</v>
      </c>
      <c r="F366" s="15">
        <v>10</v>
      </c>
      <c r="G366" s="15">
        <v>10</v>
      </c>
      <c r="H366" s="15">
        <v>10</v>
      </c>
      <c r="I366" s="15">
        <v>10</v>
      </c>
      <c r="J366" s="15">
        <v>10</v>
      </c>
      <c r="K366" s="15">
        <v>10</v>
      </c>
      <c r="L366" s="15">
        <v>10</v>
      </c>
      <c r="M366" s="15">
        <v>10</v>
      </c>
      <c r="N366" s="15">
        <v>10</v>
      </c>
      <c r="O366" s="15">
        <v>10</v>
      </c>
    </row>
    <row r="367" spans="1:15" ht="16" x14ac:dyDescent="0.2">
      <c r="A367" s="10" t="s">
        <v>438</v>
      </c>
      <c r="B367" s="11">
        <v>10</v>
      </c>
      <c r="C367" s="3"/>
      <c r="D367" s="15">
        <v>10</v>
      </c>
      <c r="E367" s="15">
        <v>10</v>
      </c>
      <c r="F367" s="12">
        <v>0</v>
      </c>
      <c r="G367" s="12">
        <v>0</v>
      </c>
      <c r="H367" s="15">
        <v>10</v>
      </c>
      <c r="I367" s="15">
        <v>10</v>
      </c>
      <c r="J367" s="12">
        <v>0</v>
      </c>
      <c r="K367" s="15">
        <v>10</v>
      </c>
      <c r="L367" s="15">
        <v>10</v>
      </c>
      <c r="M367" s="15">
        <v>10</v>
      </c>
      <c r="N367" s="12">
        <v>0</v>
      </c>
      <c r="O367" s="12">
        <v>0</v>
      </c>
    </row>
    <row r="368" spans="1:15" ht="16" x14ac:dyDescent="0.2">
      <c r="A368" s="10" t="s">
        <v>439</v>
      </c>
      <c r="B368" s="11">
        <v>10</v>
      </c>
      <c r="C368" s="3"/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</row>
    <row r="369" spans="1:15" ht="16" x14ac:dyDescent="0.2">
      <c r="A369" s="10" t="s">
        <v>440</v>
      </c>
      <c r="B369" s="11">
        <v>10</v>
      </c>
      <c r="C369" s="3"/>
      <c r="D369" s="15">
        <v>10</v>
      </c>
      <c r="E369" s="15">
        <v>10</v>
      </c>
      <c r="F369" s="15">
        <v>10</v>
      </c>
      <c r="G369" s="15">
        <v>10</v>
      </c>
      <c r="H369" s="15">
        <v>10</v>
      </c>
      <c r="I369" s="15">
        <v>10</v>
      </c>
      <c r="J369" s="12">
        <v>0</v>
      </c>
      <c r="K369" s="15">
        <v>10</v>
      </c>
      <c r="L369" s="15">
        <v>10</v>
      </c>
      <c r="M369" s="15">
        <v>10</v>
      </c>
      <c r="N369" s="15">
        <v>10</v>
      </c>
      <c r="O369" s="15">
        <v>10</v>
      </c>
    </row>
    <row r="370" spans="1:15" ht="16" x14ac:dyDescent="0.2">
      <c r="A370" s="18" t="s">
        <v>441</v>
      </c>
      <c r="B370" s="11">
        <v>10</v>
      </c>
      <c r="C370" s="3"/>
      <c r="D370" s="15">
        <v>10</v>
      </c>
      <c r="E370" s="12">
        <v>0</v>
      </c>
      <c r="F370" s="15">
        <v>10</v>
      </c>
      <c r="G370" s="15">
        <v>10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5">
        <v>10</v>
      </c>
      <c r="N370" s="12">
        <v>0</v>
      </c>
      <c r="O370" s="12">
        <v>0</v>
      </c>
    </row>
    <row r="371" spans="1:15" ht="16" x14ac:dyDescent="0.2">
      <c r="A371" s="18" t="s">
        <v>442</v>
      </c>
      <c r="B371" s="11">
        <v>10</v>
      </c>
      <c r="C371" s="3"/>
      <c r="D371" s="15">
        <v>10</v>
      </c>
      <c r="E371" s="15">
        <v>10</v>
      </c>
      <c r="F371" s="15">
        <v>10</v>
      </c>
      <c r="G371" s="15">
        <v>10</v>
      </c>
      <c r="H371" s="15">
        <v>10</v>
      </c>
      <c r="I371" s="15">
        <v>10</v>
      </c>
      <c r="J371" s="15">
        <v>10</v>
      </c>
      <c r="K371" s="12">
        <v>0</v>
      </c>
      <c r="L371" s="15">
        <v>10</v>
      </c>
      <c r="M371" s="15">
        <v>10</v>
      </c>
      <c r="N371" s="15">
        <v>10</v>
      </c>
      <c r="O371" s="15">
        <v>10</v>
      </c>
    </row>
    <row r="372" spans="1:15" ht="16" x14ac:dyDescent="0.2">
      <c r="A372" s="10" t="s">
        <v>443</v>
      </c>
      <c r="B372" s="11">
        <v>10</v>
      </c>
      <c r="C372" s="3"/>
      <c r="D372" s="12">
        <v>10</v>
      </c>
      <c r="E372" s="12">
        <v>10</v>
      </c>
      <c r="F372" s="12">
        <v>10</v>
      </c>
      <c r="G372" s="12">
        <v>10</v>
      </c>
      <c r="H372" s="12">
        <v>10</v>
      </c>
      <c r="I372" s="15">
        <v>20</v>
      </c>
      <c r="J372" s="12">
        <v>10</v>
      </c>
      <c r="K372" s="12">
        <v>10</v>
      </c>
      <c r="L372" s="12">
        <v>10</v>
      </c>
      <c r="M372" s="12">
        <v>10</v>
      </c>
      <c r="N372" s="12">
        <v>10</v>
      </c>
      <c r="O372" s="12">
        <v>10</v>
      </c>
    </row>
    <row r="373" spans="1:15" ht="16" x14ac:dyDescent="0.2">
      <c r="A373" s="10" t="s">
        <v>444</v>
      </c>
      <c r="B373" s="11">
        <v>10</v>
      </c>
      <c r="C373" s="3"/>
      <c r="D373" s="15">
        <v>10</v>
      </c>
      <c r="E373" s="12">
        <v>0</v>
      </c>
      <c r="F373" s="15">
        <v>10</v>
      </c>
      <c r="G373" s="15">
        <v>10</v>
      </c>
      <c r="H373" s="15">
        <v>10</v>
      </c>
      <c r="I373" s="15">
        <v>10</v>
      </c>
      <c r="J373" s="12">
        <v>0</v>
      </c>
      <c r="K373" s="15">
        <v>10</v>
      </c>
      <c r="L373" s="15">
        <v>10</v>
      </c>
      <c r="M373" s="15">
        <v>10</v>
      </c>
      <c r="N373" s="12">
        <v>0</v>
      </c>
      <c r="O373" s="12">
        <v>0</v>
      </c>
    </row>
    <row r="374" spans="1:15" ht="16" x14ac:dyDescent="0.2">
      <c r="A374" s="18" t="s">
        <v>445</v>
      </c>
      <c r="B374" s="11">
        <v>10</v>
      </c>
      <c r="C374" s="3"/>
      <c r="D374" s="12">
        <v>10</v>
      </c>
      <c r="E374" s="12">
        <v>10</v>
      </c>
      <c r="F374" s="12">
        <v>10</v>
      </c>
      <c r="G374" s="12">
        <v>10</v>
      </c>
      <c r="H374" s="12">
        <v>10</v>
      </c>
      <c r="I374" s="12">
        <v>10</v>
      </c>
      <c r="J374" s="15">
        <v>30</v>
      </c>
      <c r="K374" s="12">
        <v>10</v>
      </c>
      <c r="L374" s="12">
        <v>10</v>
      </c>
      <c r="M374" s="12">
        <v>10</v>
      </c>
      <c r="N374" s="12">
        <v>10</v>
      </c>
      <c r="O374" s="12">
        <v>10</v>
      </c>
    </row>
    <row r="375" spans="1:15" ht="16" x14ac:dyDescent="0.2">
      <c r="A375" s="18" t="s">
        <v>446</v>
      </c>
      <c r="B375" s="11">
        <v>10</v>
      </c>
      <c r="C375" s="3"/>
      <c r="D375" s="15">
        <v>10</v>
      </c>
      <c r="E375" s="15">
        <v>10</v>
      </c>
      <c r="F375" s="15">
        <v>10</v>
      </c>
      <c r="G375" s="15">
        <v>10</v>
      </c>
      <c r="H375" s="15">
        <v>10</v>
      </c>
      <c r="I375" s="15">
        <v>10</v>
      </c>
      <c r="J375" s="15">
        <v>10</v>
      </c>
      <c r="K375" s="15">
        <v>10</v>
      </c>
      <c r="L375" s="15">
        <v>10</v>
      </c>
      <c r="M375" s="15">
        <v>10</v>
      </c>
      <c r="N375" s="15">
        <v>10</v>
      </c>
      <c r="O375" s="15">
        <v>10</v>
      </c>
    </row>
    <row r="376" spans="1:15" ht="16" x14ac:dyDescent="0.2">
      <c r="A376" s="10" t="s">
        <v>447</v>
      </c>
      <c r="B376" s="11">
        <v>10</v>
      </c>
      <c r="C376" s="3"/>
      <c r="D376" s="15">
        <v>10</v>
      </c>
      <c r="E376" s="15">
        <v>10</v>
      </c>
      <c r="F376" s="15">
        <v>10</v>
      </c>
      <c r="G376" s="12">
        <v>0</v>
      </c>
      <c r="H376" s="12">
        <v>0</v>
      </c>
      <c r="I376" s="12">
        <v>0</v>
      </c>
      <c r="J376" s="12">
        <v>0</v>
      </c>
      <c r="K376" s="15">
        <v>10</v>
      </c>
      <c r="L376" s="15">
        <v>10</v>
      </c>
      <c r="M376" s="12">
        <v>0</v>
      </c>
      <c r="N376" s="12">
        <v>0</v>
      </c>
      <c r="O376" s="12">
        <v>0</v>
      </c>
    </row>
    <row r="377" spans="1:15" ht="16" x14ac:dyDescent="0.2">
      <c r="A377" s="10" t="s">
        <v>448</v>
      </c>
      <c r="B377" s="11">
        <v>10</v>
      </c>
      <c r="C377" s="3"/>
      <c r="D377" s="12">
        <v>0</v>
      </c>
      <c r="E377" s="15">
        <v>10</v>
      </c>
      <c r="F377" s="12">
        <v>0</v>
      </c>
      <c r="G377" s="12">
        <v>0</v>
      </c>
      <c r="H377" s="15">
        <v>10</v>
      </c>
      <c r="I377" s="12">
        <v>0</v>
      </c>
      <c r="J377" s="12">
        <v>0</v>
      </c>
      <c r="K377" s="15">
        <v>10</v>
      </c>
      <c r="L377" s="15">
        <v>10</v>
      </c>
      <c r="M377" s="15">
        <v>10</v>
      </c>
      <c r="N377" s="12">
        <v>0</v>
      </c>
      <c r="O377" s="12">
        <v>0</v>
      </c>
    </row>
    <row r="378" spans="1:15" ht="16" x14ac:dyDescent="0.2">
      <c r="A378" s="10" t="s">
        <v>449</v>
      </c>
      <c r="B378" s="11">
        <v>10</v>
      </c>
      <c r="C378" s="3"/>
      <c r="D378" s="12">
        <v>10</v>
      </c>
      <c r="E378" s="12">
        <v>10</v>
      </c>
      <c r="F378" s="12">
        <v>10</v>
      </c>
      <c r="G378" s="12">
        <v>10</v>
      </c>
      <c r="H378" s="12">
        <v>10</v>
      </c>
      <c r="I378" s="15">
        <v>30</v>
      </c>
      <c r="J378" s="111">
        <v>20</v>
      </c>
      <c r="K378" s="12">
        <v>10</v>
      </c>
      <c r="L378" s="12">
        <v>10</v>
      </c>
      <c r="M378" s="12">
        <v>10</v>
      </c>
      <c r="N378" s="12">
        <v>10</v>
      </c>
      <c r="O378" s="12">
        <v>10</v>
      </c>
    </row>
    <row r="379" spans="1:15" ht="16" x14ac:dyDescent="0.2">
      <c r="A379" s="10" t="s">
        <v>450</v>
      </c>
      <c r="B379" s="11">
        <v>10</v>
      </c>
      <c r="C379" s="3"/>
      <c r="D379" s="15">
        <v>10</v>
      </c>
      <c r="E379" s="15">
        <v>10</v>
      </c>
      <c r="F379" s="15">
        <v>10</v>
      </c>
      <c r="G379" s="15">
        <v>10</v>
      </c>
      <c r="H379" s="15">
        <v>10</v>
      </c>
      <c r="I379" s="15">
        <v>10</v>
      </c>
      <c r="J379" s="15">
        <v>10</v>
      </c>
      <c r="K379" s="15">
        <v>10</v>
      </c>
      <c r="L379" s="15">
        <v>10</v>
      </c>
      <c r="M379" s="15">
        <v>10</v>
      </c>
      <c r="N379" s="15">
        <v>10</v>
      </c>
      <c r="O379" s="15">
        <v>10</v>
      </c>
    </row>
    <row r="380" spans="1:15" ht="16" x14ac:dyDescent="0.2">
      <c r="A380" s="10" t="s">
        <v>451</v>
      </c>
      <c r="B380" s="11">
        <v>10</v>
      </c>
      <c r="C380" s="3"/>
      <c r="D380" s="12">
        <v>10</v>
      </c>
      <c r="E380" s="15">
        <v>20</v>
      </c>
      <c r="F380" s="12">
        <v>10</v>
      </c>
      <c r="G380" s="12">
        <v>10</v>
      </c>
      <c r="H380" s="15">
        <v>20</v>
      </c>
      <c r="I380" s="12">
        <v>10</v>
      </c>
      <c r="J380" s="15">
        <v>20</v>
      </c>
      <c r="K380" s="15">
        <v>20</v>
      </c>
      <c r="L380" s="15">
        <v>20</v>
      </c>
      <c r="M380" s="12">
        <v>10</v>
      </c>
      <c r="N380" s="12">
        <v>10</v>
      </c>
      <c r="O380" s="12">
        <v>10</v>
      </c>
    </row>
    <row r="381" spans="1:15" ht="16" x14ac:dyDescent="0.2">
      <c r="A381" s="10" t="s">
        <v>452</v>
      </c>
      <c r="B381" s="11">
        <v>10</v>
      </c>
      <c r="C381" s="3"/>
      <c r="D381" s="15">
        <v>10</v>
      </c>
      <c r="E381" s="15">
        <v>10</v>
      </c>
      <c r="F381" s="15">
        <v>10</v>
      </c>
      <c r="G381" s="15">
        <v>10</v>
      </c>
      <c r="H381" s="15">
        <v>10</v>
      </c>
      <c r="I381" s="15">
        <v>10</v>
      </c>
      <c r="J381" s="15">
        <v>10</v>
      </c>
      <c r="K381" s="15">
        <v>10</v>
      </c>
      <c r="L381" s="15">
        <v>10</v>
      </c>
      <c r="M381" s="15">
        <v>10</v>
      </c>
      <c r="N381" s="15">
        <v>10</v>
      </c>
      <c r="O381" s="15">
        <v>10</v>
      </c>
    </row>
    <row r="382" spans="1:15" ht="16" x14ac:dyDescent="0.2">
      <c r="A382" s="10" t="s">
        <v>453</v>
      </c>
      <c r="B382" s="11">
        <v>10</v>
      </c>
      <c r="C382" s="3"/>
      <c r="D382" s="12">
        <v>10</v>
      </c>
      <c r="E382" s="12">
        <v>10</v>
      </c>
      <c r="F382" s="15">
        <v>20</v>
      </c>
      <c r="G382" s="12">
        <v>10</v>
      </c>
      <c r="H382" s="12">
        <v>10</v>
      </c>
      <c r="I382" s="12">
        <v>10</v>
      </c>
      <c r="J382" s="12">
        <v>10</v>
      </c>
      <c r="K382" s="12">
        <v>10</v>
      </c>
      <c r="L382" s="12">
        <v>10</v>
      </c>
      <c r="M382" s="12">
        <v>10</v>
      </c>
      <c r="N382" s="12">
        <v>10</v>
      </c>
      <c r="O382" s="12">
        <v>10</v>
      </c>
    </row>
    <row r="383" spans="1:15" ht="16" x14ac:dyDescent="0.2">
      <c r="A383" s="10" t="s">
        <v>454</v>
      </c>
      <c r="B383" s="11">
        <v>10</v>
      </c>
      <c r="C383" s="3"/>
      <c r="D383" s="15">
        <v>0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</row>
    <row r="384" spans="1:15" ht="16" x14ac:dyDescent="0.2">
      <c r="A384" s="10" t="s">
        <v>455</v>
      </c>
      <c r="B384" s="11">
        <v>10</v>
      </c>
      <c r="C384" s="3"/>
      <c r="D384" s="15">
        <v>10</v>
      </c>
      <c r="E384" s="15">
        <v>10</v>
      </c>
      <c r="F384" s="15">
        <v>10</v>
      </c>
      <c r="G384" s="15">
        <v>10</v>
      </c>
      <c r="H384" s="15">
        <v>10</v>
      </c>
      <c r="I384" s="15">
        <v>10</v>
      </c>
      <c r="J384" s="15">
        <v>10</v>
      </c>
      <c r="K384" s="15">
        <v>10</v>
      </c>
      <c r="L384" s="15">
        <v>10</v>
      </c>
      <c r="M384" s="12">
        <v>0</v>
      </c>
      <c r="N384" s="15">
        <v>10</v>
      </c>
      <c r="O384" s="15">
        <v>10</v>
      </c>
    </row>
    <row r="385" spans="1:15" ht="16" x14ac:dyDescent="0.2">
      <c r="A385" s="10" t="s">
        <v>456</v>
      </c>
      <c r="B385" s="11">
        <v>10</v>
      </c>
      <c r="C385" s="3"/>
      <c r="D385" s="12">
        <v>0</v>
      </c>
      <c r="E385" s="15">
        <v>10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5">
        <v>10</v>
      </c>
      <c r="L385" s="12">
        <v>0</v>
      </c>
      <c r="M385" s="15">
        <v>10</v>
      </c>
      <c r="N385" s="12">
        <v>0</v>
      </c>
      <c r="O385" s="12">
        <v>0</v>
      </c>
    </row>
    <row r="386" spans="1:15" ht="16" x14ac:dyDescent="0.2">
      <c r="A386" s="10" t="s">
        <v>457</v>
      </c>
      <c r="B386" s="11">
        <v>10</v>
      </c>
      <c r="C386" s="3"/>
      <c r="D386" s="12">
        <v>0</v>
      </c>
      <c r="E386" s="12">
        <v>0</v>
      </c>
      <c r="F386" s="12">
        <v>0</v>
      </c>
      <c r="G386" s="12">
        <v>0</v>
      </c>
      <c r="H386" s="15">
        <v>10</v>
      </c>
      <c r="I386" s="12">
        <v>0</v>
      </c>
      <c r="J386" s="15">
        <v>10</v>
      </c>
      <c r="K386" s="15">
        <v>10</v>
      </c>
      <c r="L386" s="15">
        <v>10</v>
      </c>
      <c r="M386" s="15">
        <v>10</v>
      </c>
      <c r="N386" s="15">
        <v>10</v>
      </c>
      <c r="O386" s="15">
        <v>10</v>
      </c>
    </row>
    <row r="387" spans="1:15" ht="16" x14ac:dyDescent="0.2">
      <c r="A387" s="10" t="s">
        <v>458</v>
      </c>
      <c r="B387" s="11">
        <v>10</v>
      </c>
      <c r="C387" s="3"/>
      <c r="D387" s="15">
        <v>10</v>
      </c>
      <c r="E387" s="12">
        <v>0</v>
      </c>
      <c r="F387" s="12">
        <v>0</v>
      </c>
      <c r="G387" s="15">
        <v>10</v>
      </c>
      <c r="H387" s="15">
        <v>10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</row>
    <row r="388" spans="1:15" ht="16" x14ac:dyDescent="0.2">
      <c r="A388" s="10" t="s">
        <v>459</v>
      </c>
      <c r="B388" s="11">
        <v>10</v>
      </c>
      <c r="C388" s="3"/>
      <c r="D388" s="12">
        <v>0</v>
      </c>
      <c r="E388" s="15">
        <v>10</v>
      </c>
      <c r="F388" s="15">
        <v>10</v>
      </c>
      <c r="G388" s="15">
        <v>10</v>
      </c>
      <c r="H388" s="12">
        <v>0</v>
      </c>
      <c r="I388" s="15">
        <v>10</v>
      </c>
      <c r="J388" s="15">
        <v>10</v>
      </c>
      <c r="K388" s="15">
        <v>10</v>
      </c>
      <c r="L388" s="15">
        <v>10</v>
      </c>
      <c r="M388" s="15">
        <v>10</v>
      </c>
      <c r="N388" s="15">
        <v>10</v>
      </c>
      <c r="O388" s="15">
        <v>10</v>
      </c>
    </row>
    <row r="389" spans="1:15" ht="16" x14ac:dyDescent="0.2">
      <c r="A389" s="10" t="s">
        <v>460</v>
      </c>
      <c r="B389" s="11">
        <v>10</v>
      </c>
      <c r="C389" s="3"/>
      <c r="D389" s="15">
        <v>10</v>
      </c>
      <c r="E389" s="15">
        <v>10</v>
      </c>
      <c r="F389" s="15">
        <v>10</v>
      </c>
      <c r="G389" s="15">
        <v>10</v>
      </c>
      <c r="H389" s="12">
        <v>0</v>
      </c>
      <c r="I389" s="15">
        <v>10</v>
      </c>
      <c r="J389" s="15">
        <v>10</v>
      </c>
      <c r="K389" s="15">
        <v>10</v>
      </c>
      <c r="L389" s="15">
        <v>10</v>
      </c>
      <c r="M389" s="15">
        <v>10</v>
      </c>
      <c r="N389" s="15">
        <v>10</v>
      </c>
      <c r="O389" s="15">
        <v>10</v>
      </c>
    </row>
    <row r="390" spans="1:15" ht="16" x14ac:dyDescent="0.2">
      <c r="A390" s="10" t="s">
        <v>461</v>
      </c>
      <c r="B390" s="11">
        <v>10</v>
      </c>
      <c r="C390" s="3"/>
      <c r="D390" s="15">
        <v>10</v>
      </c>
      <c r="E390" s="15">
        <v>10</v>
      </c>
      <c r="F390" s="12">
        <v>0</v>
      </c>
      <c r="G390" s="15">
        <v>10</v>
      </c>
      <c r="H390" s="15">
        <v>10</v>
      </c>
      <c r="I390" s="15">
        <v>10</v>
      </c>
      <c r="J390" s="12">
        <v>0</v>
      </c>
      <c r="K390" s="12">
        <v>0</v>
      </c>
      <c r="L390" s="12">
        <v>0</v>
      </c>
      <c r="M390" s="15">
        <v>10</v>
      </c>
      <c r="N390" s="15">
        <v>10</v>
      </c>
      <c r="O390" s="15">
        <v>10</v>
      </c>
    </row>
    <row r="391" spans="1:15" ht="16" x14ac:dyDescent="0.2">
      <c r="A391" s="10" t="s">
        <v>462</v>
      </c>
      <c r="B391" s="11">
        <v>10</v>
      </c>
      <c r="C391" s="3"/>
      <c r="D391" s="15">
        <v>10</v>
      </c>
      <c r="E391" s="15">
        <v>10</v>
      </c>
      <c r="F391" s="15">
        <v>10</v>
      </c>
      <c r="G391" s="15">
        <v>10</v>
      </c>
      <c r="H391" s="15">
        <v>10</v>
      </c>
      <c r="I391" s="15">
        <v>10</v>
      </c>
      <c r="J391" s="15">
        <v>10</v>
      </c>
      <c r="K391" s="15">
        <v>10</v>
      </c>
      <c r="L391" s="15">
        <v>10</v>
      </c>
      <c r="M391" s="15">
        <v>10</v>
      </c>
      <c r="N391" s="15">
        <v>10</v>
      </c>
      <c r="O391" s="15">
        <v>10</v>
      </c>
    </row>
    <row r="392" spans="1:15" ht="16" x14ac:dyDescent="0.2">
      <c r="A392" s="10" t="s">
        <v>463</v>
      </c>
      <c r="B392" s="11">
        <v>10</v>
      </c>
      <c r="C392" s="3"/>
      <c r="D392" s="12">
        <v>10</v>
      </c>
      <c r="E392" s="12">
        <v>10</v>
      </c>
      <c r="F392" s="15">
        <v>20</v>
      </c>
      <c r="G392" s="12">
        <v>10</v>
      </c>
      <c r="H392" s="15">
        <v>20</v>
      </c>
      <c r="I392" s="15">
        <v>20</v>
      </c>
      <c r="J392" s="15">
        <v>20</v>
      </c>
      <c r="K392" s="12">
        <v>10</v>
      </c>
      <c r="L392" s="12">
        <v>10</v>
      </c>
      <c r="M392" s="12">
        <v>10</v>
      </c>
      <c r="N392" s="12">
        <v>10</v>
      </c>
      <c r="O392" s="12">
        <v>10</v>
      </c>
    </row>
    <row r="393" spans="1:15" ht="16" x14ac:dyDescent="0.2">
      <c r="A393" s="10" t="s">
        <v>464</v>
      </c>
      <c r="B393" s="11">
        <v>10</v>
      </c>
      <c r="C393" s="3"/>
      <c r="D393" s="15">
        <v>20</v>
      </c>
      <c r="E393" s="12">
        <v>10</v>
      </c>
      <c r="F393" s="12">
        <v>10</v>
      </c>
      <c r="G393" s="15">
        <v>20</v>
      </c>
      <c r="H393" s="12">
        <v>10</v>
      </c>
      <c r="I393" s="12">
        <v>10</v>
      </c>
      <c r="J393" s="12">
        <v>10</v>
      </c>
      <c r="K393" s="12">
        <v>10</v>
      </c>
      <c r="L393" s="12">
        <v>10</v>
      </c>
      <c r="M393" s="12">
        <v>10</v>
      </c>
      <c r="N393" s="15">
        <v>20</v>
      </c>
      <c r="O393" s="15">
        <v>20</v>
      </c>
    </row>
    <row r="394" spans="1:15" ht="16" x14ac:dyDescent="0.2">
      <c r="A394" s="10" t="s">
        <v>465</v>
      </c>
      <c r="B394" s="11">
        <v>10</v>
      </c>
      <c r="C394" s="3"/>
      <c r="D394" s="12">
        <v>10</v>
      </c>
      <c r="E394" s="111">
        <v>20</v>
      </c>
      <c r="F394" s="12">
        <v>10</v>
      </c>
      <c r="G394" s="12">
        <v>10</v>
      </c>
      <c r="H394" s="15">
        <v>30</v>
      </c>
      <c r="I394" s="12">
        <v>10</v>
      </c>
      <c r="J394" s="15">
        <v>30</v>
      </c>
      <c r="K394" s="12">
        <v>10</v>
      </c>
      <c r="L394" s="12">
        <v>10</v>
      </c>
      <c r="M394" s="12">
        <v>10</v>
      </c>
      <c r="N394" s="12">
        <v>10</v>
      </c>
      <c r="O394" s="12">
        <v>10</v>
      </c>
    </row>
    <row r="395" spans="1:15" ht="16" x14ac:dyDescent="0.2">
      <c r="A395" s="10" t="s">
        <v>466</v>
      </c>
      <c r="B395" s="11">
        <v>10</v>
      </c>
      <c r="C395" s="3"/>
      <c r="D395" s="12">
        <v>10</v>
      </c>
      <c r="E395" s="15">
        <v>20</v>
      </c>
      <c r="F395" s="12">
        <v>10</v>
      </c>
      <c r="G395" s="12">
        <v>10</v>
      </c>
      <c r="H395" s="12">
        <v>10</v>
      </c>
      <c r="I395" s="12">
        <v>10</v>
      </c>
      <c r="J395" s="12">
        <v>10</v>
      </c>
      <c r="K395" s="12">
        <v>10</v>
      </c>
      <c r="L395" s="12">
        <v>10</v>
      </c>
      <c r="M395" s="12">
        <v>10</v>
      </c>
      <c r="N395" s="12">
        <v>10</v>
      </c>
      <c r="O395" s="12">
        <v>10</v>
      </c>
    </row>
    <row r="396" spans="1:15" ht="16" x14ac:dyDescent="0.2">
      <c r="A396" s="10" t="s">
        <v>467</v>
      </c>
      <c r="B396" s="11">
        <v>10</v>
      </c>
      <c r="C396" s="3"/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5">
        <v>10</v>
      </c>
      <c r="L396" s="12">
        <v>0</v>
      </c>
      <c r="M396" s="12">
        <v>0</v>
      </c>
      <c r="N396" s="12">
        <v>0</v>
      </c>
      <c r="O396" s="12">
        <v>0</v>
      </c>
    </row>
    <row r="397" spans="1:15" ht="16" x14ac:dyDescent="0.2">
      <c r="A397" s="10" t="s">
        <v>468</v>
      </c>
      <c r="B397" s="11">
        <v>10</v>
      </c>
      <c r="C397" s="3"/>
      <c r="D397" s="12">
        <v>10</v>
      </c>
      <c r="E397" s="15">
        <v>20</v>
      </c>
      <c r="F397" s="12">
        <v>10</v>
      </c>
      <c r="G397" s="15">
        <v>20</v>
      </c>
      <c r="H397" s="15">
        <v>20</v>
      </c>
      <c r="I397" s="12">
        <v>10</v>
      </c>
      <c r="J397" s="12">
        <v>10</v>
      </c>
      <c r="K397" s="12">
        <v>10</v>
      </c>
      <c r="L397" s="15">
        <v>20</v>
      </c>
      <c r="M397" s="12">
        <v>10</v>
      </c>
      <c r="N397" s="12">
        <v>10</v>
      </c>
      <c r="O397" s="12">
        <v>10</v>
      </c>
    </row>
    <row r="398" spans="1:15" ht="16" x14ac:dyDescent="0.2">
      <c r="A398" s="10" t="s">
        <v>469</v>
      </c>
      <c r="B398" s="11">
        <v>10</v>
      </c>
      <c r="C398" s="3"/>
      <c r="D398" s="15">
        <v>10</v>
      </c>
      <c r="E398" s="12">
        <v>0</v>
      </c>
      <c r="F398" s="15">
        <v>10</v>
      </c>
      <c r="G398" s="15">
        <v>10</v>
      </c>
      <c r="H398" s="15">
        <v>10</v>
      </c>
      <c r="I398" s="15">
        <v>10</v>
      </c>
      <c r="J398" s="15">
        <v>10</v>
      </c>
      <c r="K398" s="12">
        <v>0</v>
      </c>
      <c r="L398" s="15">
        <v>10</v>
      </c>
      <c r="M398" s="15">
        <v>10</v>
      </c>
      <c r="N398" s="12">
        <v>0</v>
      </c>
      <c r="O398" s="12">
        <v>0</v>
      </c>
    </row>
    <row r="399" spans="1:15" ht="16" x14ac:dyDescent="0.2">
      <c r="A399" s="10" t="s">
        <v>470</v>
      </c>
      <c r="B399" s="11">
        <v>10</v>
      </c>
      <c r="C399" s="3"/>
      <c r="D399" s="15">
        <v>20</v>
      </c>
      <c r="E399" s="12">
        <v>10</v>
      </c>
      <c r="F399" s="12">
        <v>10</v>
      </c>
      <c r="G399" s="12">
        <v>10</v>
      </c>
      <c r="H399" s="12">
        <v>10</v>
      </c>
      <c r="I399" s="12">
        <v>10</v>
      </c>
      <c r="J399" s="12">
        <v>10</v>
      </c>
      <c r="K399" s="12">
        <v>10</v>
      </c>
      <c r="L399" s="12">
        <v>10</v>
      </c>
      <c r="M399" s="12">
        <v>10</v>
      </c>
      <c r="N399" s="12">
        <v>10</v>
      </c>
      <c r="O399" s="12">
        <v>10</v>
      </c>
    </row>
    <row r="400" spans="1:15" ht="16" x14ac:dyDescent="0.2">
      <c r="A400" s="10" t="s">
        <v>471</v>
      </c>
      <c r="B400" s="11">
        <v>10</v>
      </c>
      <c r="C400" s="3"/>
      <c r="D400" s="15">
        <v>10</v>
      </c>
      <c r="E400" s="15">
        <v>10</v>
      </c>
      <c r="F400" s="15">
        <v>10</v>
      </c>
      <c r="G400" s="15">
        <v>10</v>
      </c>
      <c r="H400" s="15">
        <v>10</v>
      </c>
      <c r="I400" s="12">
        <v>0</v>
      </c>
      <c r="J400" s="15">
        <v>10</v>
      </c>
      <c r="K400" s="15">
        <v>10</v>
      </c>
      <c r="L400" s="15">
        <v>10</v>
      </c>
      <c r="M400" s="15">
        <v>10</v>
      </c>
      <c r="N400" s="15">
        <v>10</v>
      </c>
      <c r="O400" s="15">
        <v>10</v>
      </c>
    </row>
    <row r="401" spans="1:15" ht="16" x14ac:dyDescent="0.2">
      <c r="A401" s="10" t="s">
        <v>472</v>
      </c>
      <c r="B401" s="11">
        <v>10</v>
      </c>
      <c r="C401" s="3"/>
      <c r="D401" s="15">
        <v>20</v>
      </c>
      <c r="E401" s="12">
        <v>10</v>
      </c>
      <c r="F401" s="12">
        <v>10</v>
      </c>
      <c r="G401" s="12">
        <v>10</v>
      </c>
      <c r="H401" s="12">
        <v>10</v>
      </c>
      <c r="I401" s="12">
        <v>10</v>
      </c>
      <c r="J401" s="12">
        <v>10</v>
      </c>
      <c r="K401" s="12">
        <v>10</v>
      </c>
      <c r="L401" s="12">
        <v>10</v>
      </c>
      <c r="M401" s="12">
        <v>10</v>
      </c>
      <c r="N401" s="12">
        <v>10</v>
      </c>
      <c r="O401" s="12">
        <v>10</v>
      </c>
    </row>
    <row r="402" spans="1:15" ht="16" x14ac:dyDescent="0.2">
      <c r="A402" s="10" t="s">
        <v>473</v>
      </c>
      <c r="B402" s="11">
        <v>10</v>
      </c>
      <c r="C402" s="3"/>
      <c r="D402" s="15">
        <v>10</v>
      </c>
      <c r="E402" s="15">
        <v>10</v>
      </c>
      <c r="F402" s="15">
        <v>10</v>
      </c>
      <c r="G402" s="15">
        <v>10</v>
      </c>
      <c r="H402" s="12">
        <v>0</v>
      </c>
      <c r="I402" s="15">
        <v>10</v>
      </c>
      <c r="J402" s="15">
        <v>10</v>
      </c>
      <c r="K402" s="15">
        <v>10</v>
      </c>
      <c r="L402" s="15">
        <v>10</v>
      </c>
      <c r="M402" s="15">
        <v>10</v>
      </c>
      <c r="N402" s="15">
        <v>10</v>
      </c>
      <c r="O402" s="15">
        <v>10</v>
      </c>
    </row>
    <row r="403" spans="1:15" ht="16" x14ac:dyDescent="0.2">
      <c r="A403" s="10" t="s">
        <v>474</v>
      </c>
      <c r="B403" s="11">
        <v>10</v>
      </c>
      <c r="C403" s="3"/>
      <c r="D403" s="12">
        <v>0</v>
      </c>
      <c r="E403" s="12">
        <v>0</v>
      </c>
      <c r="F403" s="15">
        <v>10</v>
      </c>
      <c r="G403" s="15">
        <v>10</v>
      </c>
      <c r="H403" s="12">
        <v>0</v>
      </c>
      <c r="I403" s="12">
        <v>0</v>
      </c>
      <c r="J403" s="12">
        <v>0</v>
      </c>
      <c r="K403" s="15">
        <v>10</v>
      </c>
      <c r="L403" s="15">
        <v>10</v>
      </c>
      <c r="M403" s="12">
        <v>0</v>
      </c>
      <c r="N403" s="12">
        <v>0</v>
      </c>
      <c r="O403" s="12">
        <v>0</v>
      </c>
    </row>
    <row r="404" spans="1:15" ht="16" x14ac:dyDescent="0.2">
      <c r="A404" s="10" t="s">
        <v>475</v>
      </c>
      <c r="B404" s="11">
        <v>10</v>
      </c>
      <c r="C404" s="3"/>
      <c r="D404" s="12">
        <v>0</v>
      </c>
      <c r="E404" s="15">
        <v>10</v>
      </c>
      <c r="F404" s="12">
        <v>0</v>
      </c>
      <c r="G404" s="15">
        <v>10</v>
      </c>
      <c r="H404" s="15">
        <v>10</v>
      </c>
      <c r="I404" s="15">
        <v>10</v>
      </c>
      <c r="J404" s="12">
        <v>0</v>
      </c>
      <c r="K404" s="15">
        <v>10</v>
      </c>
      <c r="L404" s="12">
        <v>0</v>
      </c>
      <c r="M404" s="12">
        <v>0</v>
      </c>
      <c r="N404" s="15">
        <v>10</v>
      </c>
      <c r="O404" s="15">
        <v>10</v>
      </c>
    </row>
    <row r="405" spans="1:15" ht="16" x14ac:dyDescent="0.2">
      <c r="A405" s="10" t="s">
        <v>476</v>
      </c>
      <c r="B405" s="11">
        <v>10</v>
      </c>
      <c r="C405" s="3"/>
      <c r="D405" s="13">
        <v>10</v>
      </c>
      <c r="E405" s="15">
        <v>20</v>
      </c>
      <c r="F405" s="13">
        <v>10</v>
      </c>
      <c r="G405" s="15">
        <v>20</v>
      </c>
      <c r="H405" s="15">
        <v>20</v>
      </c>
      <c r="I405" s="13">
        <v>10</v>
      </c>
      <c r="J405" s="13">
        <v>10</v>
      </c>
      <c r="K405" s="12">
        <v>0</v>
      </c>
      <c r="L405" s="13">
        <v>10</v>
      </c>
      <c r="M405" s="12">
        <v>0</v>
      </c>
      <c r="N405" s="12">
        <v>0</v>
      </c>
      <c r="O405" s="12">
        <v>0</v>
      </c>
    </row>
    <row r="406" spans="1:15" ht="16" x14ac:dyDescent="0.2">
      <c r="A406" s="10" t="s">
        <v>477</v>
      </c>
      <c r="B406" s="11">
        <v>10</v>
      </c>
      <c r="C406" s="3"/>
      <c r="D406" s="12">
        <v>0</v>
      </c>
      <c r="E406" s="12">
        <v>0</v>
      </c>
      <c r="F406" s="15">
        <v>10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</row>
    <row r="407" spans="1:15" ht="16" x14ac:dyDescent="0.2">
      <c r="A407" s="10" t="s">
        <v>478</v>
      </c>
      <c r="B407" s="11">
        <v>10</v>
      </c>
      <c r="C407" s="3"/>
      <c r="D407" s="12">
        <v>0</v>
      </c>
      <c r="E407" s="15">
        <v>10</v>
      </c>
      <c r="F407" s="15">
        <v>10</v>
      </c>
      <c r="G407" s="15">
        <v>10</v>
      </c>
      <c r="H407" s="15">
        <v>10</v>
      </c>
      <c r="I407" s="15">
        <v>10</v>
      </c>
      <c r="J407" s="15">
        <v>10</v>
      </c>
      <c r="K407" s="15">
        <v>10</v>
      </c>
      <c r="L407" s="15">
        <v>10</v>
      </c>
      <c r="M407" s="15">
        <v>10</v>
      </c>
      <c r="N407" s="15">
        <v>10</v>
      </c>
      <c r="O407" s="15">
        <v>10</v>
      </c>
    </row>
    <row r="408" spans="1:15" ht="16" x14ac:dyDescent="0.2">
      <c r="A408" s="18" t="s">
        <v>479</v>
      </c>
      <c r="B408" s="11">
        <v>10</v>
      </c>
      <c r="C408" s="3"/>
      <c r="D408" s="12">
        <v>0</v>
      </c>
      <c r="E408" s="12">
        <v>0</v>
      </c>
      <c r="F408" s="13">
        <v>10</v>
      </c>
      <c r="G408" s="13">
        <v>10</v>
      </c>
      <c r="H408" s="12">
        <v>0</v>
      </c>
      <c r="I408" s="13">
        <v>10</v>
      </c>
      <c r="J408" s="13">
        <v>10</v>
      </c>
      <c r="K408" s="12">
        <v>0</v>
      </c>
      <c r="L408" s="12">
        <v>0</v>
      </c>
      <c r="M408" s="15">
        <v>20</v>
      </c>
      <c r="N408" s="13">
        <v>10</v>
      </c>
      <c r="O408" s="13">
        <v>10</v>
      </c>
    </row>
    <row r="409" spans="1:15" ht="16" x14ac:dyDescent="0.2">
      <c r="A409" s="18" t="s">
        <v>480</v>
      </c>
      <c r="B409" s="11">
        <v>10</v>
      </c>
      <c r="C409" s="3"/>
      <c r="D409" s="13">
        <v>10</v>
      </c>
      <c r="E409" s="15">
        <v>20</v>
      </c>
      <c r="F409" s="13">
        <v>10</v>
      </c>
      <c r="G409" s="15">
        <v>20</v>
      </c>
      <c r="H409" s="13">
        <v>10</v>
      </c>
      <c r="I409" s="13">
        <v>10</v>
      </c>
      <c r="J409" s="13">
        <v>10</v>
      </c>
      <c r="K409" s="12">
        <v>0</v>
      </c>
      <c r="L409" s="13">
        <v>10</v>
      </c>
      <c r="M409" s="13">
        <v>10</v>
      </c>
      <c r="N409" s="13">
        <v>10</v>
      </c>
      <c r="O409" s="13">
        <v>10</v>
      </c>
    </row>
    <row r="410" spans="1:15" ht="16" x14ac:dyDescent="0.2">
      <c r="A410" s="18" t="s">
        <v>481</v>
      </c>
      <c r="B410" s="11">
        <v>10</v>
      </c>
      <c r="C410" s="3"/>
      <c r="D410" s="15">
        <v>10</v>
      </c>
      <c r="E410" s="15">
        <v>10</v>
      </c>
      <c r="F410" s="15">
        <v>10</v>
      </c>
      <c r="G410" s="15">
        <v>10</v>
      </c>
      <c r="H410" s="12">
        <v>0</v>
      </c>
      <c r="I410" s="15">
        <v>10</v>
      </c>
      <c r="J410" s="15">
        <v>10</v>
      </c>
      <c r="K410" s="15">
        <v>10</v>
      </c>
      <c r="L410" s="15">
        <v>10</v>
      </c>
      <c r="M410" s="15">
        <v>10</v>
      </c>
      <c r="N410" s="15">
        <v>10</v>
      </c>
      <c r="O410" s="15">
        <v>10</v>
      </c>
    </row>
    <row r="411" spans="1:15" ht="16" x14ac:dyDescent="0.2">
      <c r="A411" s="10" t="s">
        <v>482</v>
      </c>
      <c r="B411" s="11">
        <v>10</v>
      </c>
      <c r="C411" s="3"/>
      <c r="D411" s="15">
        <v>10</v>
      </c>
      <c r="E411" s="15">
        <v>10</v>
      </c>
      <c r="F411" s="15">
        <v>10</v>
      </c>
      <c r="G411" s="12">
        <v>0</v>
      </c>
      <c r="H411" s="12">
        <v>0</v>
      </c>
      <c r="I411" s="15">
        <v>10</v>
      </c>
      <c r="J411" s="15">
        <v>10</v>
      </c>
      <c r="K411" s="15">
        <v>10</v>
      </c>
      <c r="L411" s="15">
        <v>10</v>
      </c>
      <c r="M411" s="15">
        <v>10</v>
      </c>
      <c r="N411" s="15">
        <v>10</v>
      </c>
      <c r="O411" s="15">
        <v>10</v>
      </c>
    </row>
    <row r="412" spans="1:15" ht="16" x14ac:dyDescent="0.2">
      <c r="A412" s="10" t="s">
        <v>483</v>
      </c>
      <c r="B412" s="11">
        <v>10</v>
      </c>
      <c r="C412" s="3"/>
      <c r="D412" s="15">
        <v>10</v>
      </c>
      <c r="E412" s="15">
        <v>10</v>
      </c>
      <c r="F412" s="15">
        <v>10</v>
      </c>
      <c r="G412" s="15">
        <v>10</v>
      </c>
      <c r="H412" s="15">
        <v>10</v>
      </c>
      <c r="I412" s="15">
        <v>10</v>
      </c>
      <c r="J412" s="15">
        <v>10</v>
      </c>
      <c r="K412" s="15">
        <v>10</v>
      </c>
      <c r="L412" s="15">
        <v>10</v>
      </c>
      <c r="M412" s="15">
        <v>10</v>
      </c>
      <c r="N412" s="15">
        <v>10</v>
      </c>
      <c r="O412" s="15">
        <v>10</v>
      </c>
    </row>
    <row r="413" spans="1:15" ht="16" x14ac:dyDescent="0.2">
      <c r="A413" s="10" t="s">
        <v>484</v>
      </c>
      <c r="B413" s="11">
        <v>10</v>
      </c>
      <c r="C413" s="3"/>
      <c r="D413" s="12">
        <v>0</v>
      </c>
      <c r="E413" s="15">
        <v>10</v>
      </c>
      <c r="F413" s="15">
        <v>10</v>
      </c>
      <c r="G413" s="12">
        <v>0</v>
      </c>
      <c r="H413" s="15">
        <v>10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</row>
    <row r="414" spans="1:15" ht="16" x14ac:dyDescent="0.2">
      <c r="A414" s="10" t="s">
        <v>485</v>
      </c>
      <c r="B414" s="11">
        <v>10</v>
      </c>
      <c r="C414" s="3"/>
      <c r="D414" s="15">
        <v>10</v>
      </c>
      <c r="E414" s="15">
        <v>10</v>
      </c>
      <c r="F414" s="15">
        <v>10</v>
      </c>
      <c r="G414" s="15">
        <v>10</v>
      </c>
      <c r="H414" s="15">
        <v>10</v>
      </c>
      <c r="I414" s="15">
        <v>10</v>
      </c>
      <c r="J414" s="15">
        <v>10</v>
      </c>
      <c r="K414" s="15">
        <v>10</v>
      </c>
      <c r="L414" s="15">
        <v>10</v>
      </c>
      <c r="M414" s="15">
        <v>10</v>
      </c>
      <c r="N414" s="15">
        <v>10</v>
      </c>
      <c r="O414" s="15">
        <v>10</v>
      </c>
    </row>
    <row r="415" spans="1:15" ht="16" x14ac:dyDescent="0.2">
      <c r="A415" s="10" t="s">
        <v>486</v>
      </c>
      <c r="B415" s="11">
        <v>10</v>
      </c>
      <c r="C415" s="3"/>
      <c r="D415" s="12">
        <v>0</v>
      </c>
      <c r="E415" s="12">
        <v>0</v>
      </c>
      <c r="F415" s="15">
        <v>10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</row>
    <row r="416" spans="1:15" ht="16" x14ac:dyDescent="0.2">
      <c r="A416" s="10" t="s">
        <v>487</v>
      </c>
      <c r="B416" s="11">
        <v>10</v>
      </c>
      <c r="C416" s="3"/>
      <c r="D416" s="12">
        <v>0</v>
      </c>
      <c r="E416" s="13">
        <v>10</v>
      </c>
      <c r="F416" s="12">
        <v>0</v>
      </c>
      <c r="G416" s="13">
        <v>10</v>
      </c>
      <c r="H416" s="13">
        <v>10</v>
      </c>
      <c r="I416" s="15">
        <v>20</v>
      </c>
      <c r="J416" s="15">
        <v>20</v>
      </c>
      <c r="K416" s="13">
        <v>10</v>
      </c>
      <c r="L416" s="13">
        <v>10</v>
      </c>
      <c r="M416" s="13">
        <v>10</v>
      </c>
      <c r="N416" s="13">
        <v>10</v>
      </c>
      <c r="O416" s="13">
        <v>10</v>
      </c>
    </row>
    <row r="417" spans="1:15" ht="16" x14ac:dyDescent="0.2">
      <c r="A417" s="10" t="s">
        <v>488</v>
      </c>
      <c r="B417" s="11">
        <v>10</v>
      </c>
      <c r="C417" s="3"/>
      <c r="D417" s="12">
        <v>0</v>
      </c>
      <c r="E417" s="15">
        <v>10</v>
      </c>
      <c r="F417" s="12">
        <v>0</v>
      </c>
      <c r="G417" s="12">
        <v>0</v>
      </c>
      <c r="H417" s="12">
        <v>0</v>
      </c>
      <c r="I417" s="15">
        <v>10</v>
      </c>
      <c r="J417" s="12">
        <v>0</v>
      </c>
      <c r="K417" s="15">
        <v>10</v>
      </c>
      <c r="L417" s="15">
        <v>10</v>
      </c>
      <c r="M417" s="15">
        <v>10</v>
      </c>
      <c r="N417" s="12">
        <v>0</v>
      </c>
      <c r="O417" s="12">
        <v>0</v>
      </c>
    </row>
    <row r="418" spans="1:15" ht="16" x14ac:dyDescent="0.2">
      <c r="A418" s="10" t="s">
        <v>489</v>
      </c>
      <c r="B418" s="11">
        <v>10</v>
      </c>
      <c r="C418" s="3"/>
      <c r="D418" s="15">
        <v>10</v>
      </c>
      <c r="E418" s="15">
        <v>10</v>
      </c>
      <c r="F418" s="15">
        <v>10</v>
      </c>
      <c r="G418" s="15">
        <v>10</v>
      </c>
      <c r="H418" s="15">
        <v>10</v>
      </c>
      <c r="I418" s="15">
        <v>10</v>
      </c>
      <c r="J418" s="15">
        <v>10</v>
      </c>
      <c r="K418" s="15">
        <v>10</v>
      </c>
      <c r="L418" s="15">
        <v>10</v>
      </c>
      <c r="M418" s="15">
        <v>10</v>
      </c>
      <c r="N418" s="15">
        <v>10</v>
      </c>
      <c r="O418" s="15">
        <v>10</v>
      </c>
    </row>
    <row r="419" spans="1:15" ht="16" x14ac:dyDescent="0.2">
      <c r="A419" s="10" t="s">
        <v>490</v>
      </c>
      <c r="B419" s="11">
        <v>10</v>
      </c>
      <c r="C419" s="3"/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5">
        <v>10</v>
      </c>
      <c r="L419" s="12">
        <v>0</v>
      </c>
      <c r="M419" s="15">
        <v>10</v>
      </c>
      <c r="N419" s="15">
        <v>10</v>
      </c>
      <c r="O419" s="15">
        <v>10</v>
      </c>
    </row>
    <row r="420" spans="1:15" ht="16" x14ac:dyDescent="0.2">
      <c r="A420" s="10" t="s">
        <v>491</v>
      </c>
      <c r="B420" s="11">
        <v>10</v>
      </c>
      <c r="C420" s="3"/>
      <c r="D420" s="15">
        <v>10</v>
      </c>
      <c r="E420" s="15">
        <v>10</v>
      </c>
      <c r="F420" s="15">
        <v>10</v>
      </c>
      <c r="G420" s="15">
        <v>10</v>
      </c>
      <c r="H420" s="15">
        <v>10</v>
      </c>
      <c r="I420" s="12">
        <v>0</v>
      </c>
      <c r="J420" s="15">
        <v>10</v>
      </c>
      <c r="K420" s="15">
        <v>10</v>
      </c>
      <c r="L420" s="15">
        <v>10</v>
      </c>
      <c r="M420" s="15">
        <v>10</v>
      </c>
      <c r="N420" s="12">
        <v>0</v>
      </c>
      <c r="O420" s="12">
        <v>0</v>
      </c>
    </row>
    <row r="421" spans="1:15" ht="16" x14ac:dyDescent="0.2">
      <c r="A421" s="10" t="s">
        <v>492</v>
      </c>
      <c r="B421" s="11">
        <v>10</v>
      </c>
      <c r="C421" s="3"/>
      <c r="D421" s="15">
        <v>10</v>
      </c>
      <c r="E421" s="15">
        <v>10</v>
      </c>
      <c r="F421" s="15">
        <v>10</v>
      </c>
      <c r="G421" s="15">
        <v>10</v>
      </c>
      <c r="H421" s="15">
        <v>10</v>
      </c>
      <c r="I421" s="15">
        <v>10</v>
      </c>
      <c r="J421" s="15">
        <v>10</v>
      </c>
      <c r="K421" s="15">
        <v>10</v>
      </c>
      <c r="L421" s="15">
        <v>10</v>
      </c>
      <c r="M421" s="15">
        <v>10</v>
      </c>
      <c r="N421" s="15">
        <v>10</v>
      </c>
      <c r="O421" s="15">
        <v>10</v>
      </c>
    </row>
    <row r="422" spans="1:15" ht="16" x14ac:dyDescent="0.2">
      <c r="A422" s="10" t="s">
        <v>493</v>
      </c>
      <c r="B422" s="11">
        <v>10</v>
      </c>
      <c r="C422" s="3"/>
      <c r="D422" s="12">
        <v>10</v>
      </c>
      <c r="E422" s="15">
        <v>20</v>
      </c>
      <c r="F422" s="15">
        <v>20</v>
      </c>
      <c r="G422" s="15">
        <v>20</v>
      </c>
      <c r="H422" s="15">
        <v>20</v>
      </c>
      <c r="I422" s="12">
        <v>10</v>
      </c>
      <c r="J422" s="12">
        <v>10</v>
      </c>
      <c r="K422" s="12">
        <v>10</v>
      </c>
      <c r="L422" s="15">
        <v>20</v>
      </c>
      <c r="M422" s="15">
        <v>20</v>
      </c>
      <c r="N422" s="12">
        <v>10</v>
      </c>
      <c r="O422" s="12">
        <v>10</v>
      </c>
    </row>
    <row r="423" spans="1:15" ht="16" x14ac:dyDescent="0.2">
      <c r="A423" s="10" t="s">
        <v>494</v>
      </c>
      <c r="B423" s="11">
        <v>10</v>
      </c>
      <c r="C423" s="3"/>
      <c r="D423" s="15">
        <v>10</v>
      </c>
      <c r="E423" s="15">
        <v>10</v>
      </c>
      <c r="F423" s="12">
        <v>0</v>
      </c>
      <c r="G423" s="15">
        <v>10</v>
      </c>
      <c r="H423" s="15">
        <v>10</v>
      </c>
      <c r="I423" s="15">
        <v>10</v>
      </c>
      <c r="J423" s="12">
        <v>0</v>
      </c>
      <c r="K423" s="12">
        <v>0</v>
      </c>
      <c r="L423" s="15">
        <v>10</v>
      </c>
      <c r="M423" s="15">
        <v>10</v>
      </c>
      <c r="N423" s="15">
        <v>10</v>
      </c>
      <c r="O423" s="15">
        <v>10</v>
      </c>
    </row>
    <row r="424" spans="1:15" ht="16" x14ac:dyDescent="0.2">
      <c r="A424" s="10" t="s">
        <v>495</v>
      </c>
      <c r="B424" s="11">
        <v>10</v>
      </c>
      <c r="C424" s="3"/>
      <c r="D424" s="15">
        <v>10</v>
      </c>
      <c r="E424" s="15">
        <v>10</v>
      </c>
      <c r="F424" s="15">
        <v>10</v>
      </c>
      <c r="G424" s="12">
        <v>0</v>
      </c>
      <c r="H424" s="12">
        <v>0</v>
      </c>
      <c r="I424" s="15">
        <v>10</v>
      </c>
      <c r="J424" s="12">
        <v>0</v>
      </c>
      <c r="K424" s="15">
        <v>10</v>
      </c>
      <c r="L424" s="15">
        <v>10</v>
      </c>
      <c r="M424" s="15">
        <v>10</v>
      </c>
      <c r="N424" s="15">
        <v>10</v>
      </c>
      <c r="O424" s="15">
        <v>10</v>
      </c>
    </row>
    <row r="425" spans="1:15" ht="16" x14ac:dyDescent="0.2">
      <c r="A425" s="10" t="s">
        <v>496</v>
      </c>
      <c r="B425" s="11">
        <v>10</v>
      </c>
      <c r="C425" s="3"/>
      <c r="D425" s="15">
        <v>10</v>
      </c>
      <c r="E425" s="15">
        <v>10</v>
      </c>
      <c r="F425" s="15">
        <v>10</v>
      </c>
      <c r="G425" s="15">
        <v>10</v>
      </c>
      <c r="H425" s="15">
        <v>10</v>
      </c>
      <c r="I425" s="15">
        <v>10</v>
      </c>
      <c r="J425" s="15">
        <v>10</v>
      </c>
      <c r="K425" s="15">
        <v>10</v>
      </c>
      <c r="L425" s="15">
        <v>10</v>
      </c>
      <c r="M425" s="15">
        <v>10</v>
      </c>
      <c r="N425" s="12">
        <v>0</v>
      </c>
      <c r="O425" s="12">
        <v>0</v>
      </c>
    </row>
    <row r="426" spans="1:15" ht="16" x14ac:dyDescent="0.2">
      <c r="A426" s="10" t="s">
        <v>497</v>
      </c>
      <c r="B426" s="11">
        <v>10</v>
      </c>
      <c r="C426" s="3"/>
      <c r="D426" s="12">
        <v>10</v>
      </c>
      <c r="E426" s="12">
        <v>10</v>
      </c>
      <c r="F426" s="12">
        <v>10</v>
      </c>
      <c r="G426" s="12">
        <v>10</v>
      </c>
      <c r="H426" s="15">
        <v>20</v>
      </c>
      <c r="I426" s="12">
        <v>10</v>
      </c>
      <c r="J426" s="12">
        <v>10</v>
      </c>
      <c r="K426" s="12">
        <v>10</v>
      </c>
      <c r="L426" s="12">
        <v>10</v>
      </c>
      <c r="M426" s="12">
        <v>10</v>
      </c>
      <c r="N426" s="12">
        <v>10</v>
      </c>
      <c r="O426" s="12">
        <v>10</v>
      </c>
    </row>
    <row r="427" spans="1:15" ht="16" x14ac:dyDescent="0.2">
      <c r="A427" s="10" t="s">
        <v>498</v>
      </c>
      <c r="B427" s="11">
        <v>10</v>
      </c>
      <c r="C427" s="3"/>
      <c r="D427" s="15">
        <v>10</v>
      </c>
      <c r="E427" s="15">
        <v>10</v>
      </c>
      <c r="F427" s="15">
        <v>10</v>
      </c>
      <c r="G427" s="15">
        <v>10</v>
      </c>
      <c r="H427" s="15">
        <v>10</v>
      </c>
      <c r="I427" s="12">
        <v>0</v>
      </c>
      <c r="J427" s="15">
        <v>10</v>
      </c>
      <c r="K427" s="15">
        <v>10</v>
      </c>
      <c r="L427" s="15">
        <v>10</v>
      </c>
      <c r="M427" s="15">
        <v>10</v>
      </c>
      <c r="N427" s="15">
        <v>10</v>
      </c>
      <c r="O427" s="15">
        <v>10</v>
      </c>
    </row>
    <row r="428" spans="1:15" ht="16" x14ac:dyDescent="0.2">
      <c r="A428" s="18" t="s">
        <v>499</v>
      </c>
      <c r="B428" s="11">
        <v>10</v>
      </c>
      <c r="C428" s="3"/>
      <c r="D428" s="12">
        <v>0</v>
      </c>
      <c r="E428" s="13">
        <v>10</v>
      </c>
      <c r="F428" s="12">
        <v>0</v>
      </c>
      <c r="G428" s="13">
        <v>10</v>
      </c>
      <c r="H428" s="15">
        <v>20</v>
      </c>
      <c r="I428" s="13">
        <v>10</v>
      </c>
      <c r="J428" s="13">
        <v>10</v>
      </c>
      <c r="K428" s="13">
        <v>10</v>
      </c>
      <c r="L428" s="13">
        <v>10</v>
      </c>
      <c r="M428" s="13">
        <v>10</v>
      </c>
      <c r="N428" s="13">
        <v>10</v>
      </c>
      <c r="O428" s="13">
        <v>10</v>
      </c>
    </row>
    <row r="429" spans="1:15" ht="16" x14ac:dyDescent="0.2">
      <c r="A429" s="18" t="s">
        <v>500</v>
      </c>
      <c r="B429" s="11">
        <v>10</v>
      </c>
      <c r="C429" s="3"/>
      <c r="D429" s="12">
        <v>10</v>
      </c>
      <c r="E429" s="12">
        <v>10</v>
      </c>
      <c r="F429" s="12">
        <v>10</v>
      </c>
      <c r="G429" s="15">
        <v>20</v>
      </c>
      <c r="H429" s="12">
        <v>10</v>
      </c>
      <c r="I429" s="12">
        <v>10</v>
      </c>
      <c r="J429" s="12">
        <v>10</v>
      </c>
      <c r="K429" s="12">
        <v>10</v>
      </c>
      <c r="L429" s="12">
        <v>10</v>
      </c>
      <c r="M429" s="15">
        <v>20</v>
      </c>
      <c r="N429" s="12">
        <v>10</v>
      </c>
      <c r="O429" s="12">
        <v>10</v>
      </c>
    </row>
    <row r="430" spans="1:15" ht="16" x14ac:dyDescent="0.2">
      <c r="A430" s="10" t="s">
        <v>501</v>
      </c>
      <c r="B430" s="11">
        <v>10</v>
      </c>
      <c r="C430" s="3"/>
      <c r="D430" s="15">
        <v>10</v>
      </c>
      <c r="E430" s="15">
        <v>10</v>
      </c>
      <c r="F430" s="15">
        <v>10</v>
      </c>
      <c r="G430" s="15">
        <v>10</v>
      </c>
      <c r="H430" s="15">
        <v>10</v>
      </c>
      <c r="I430" s="15">
        <v>10</v>
      </c>
      <c r="J430" s="12">
        <v>0</v>
      </c>
      <c r="K430" s="15">
        <v>10</v>
      </c>
      <c r="L430" s="12">
        <v>0</v>
      </c>
      <c r="M430" s="15">
        <v>10</v>
      </c>
      <c r="N430" s="12">
        <v>0</v>
      </c>
      <c r="O430" s="12">
        <v>0</v>
      </c>
    </row>
    <row r="431" spans="1:15" ht="16" x14ac:dyDescent="0.2">
      <c r="A431" s="18" t="s">
        <v>502</v>
      </c>
      <c r="B431" s="11">
        <v>10</v>
      </c>
      <c r="C431" s="3"/>
      <c r="D431" s="15">
        <v>10</v>
      </c>
      <c r="E431" s="15">
        <v>10</v>
      </c>
      <c r="F431" s="15">
        <v>10</v>
      </c>
      <c r="G431" s="15">
        <v>10</v>
      </c>
      <c r="H431" s="15">
        <v>10</v>
      </c>
      <c r="I431" s="15">
        <v>10</v>
      </c>
      <c r="J431" s="12">
        <v>0</v>
      </c>
      <c r="K431" s="12">
        <v>0</v>
      </c>
      <c r="L431" s="12">
        <v>0</v>
      </c>
      <c r="M431" s="15">
        <v>10</v>
      </c>
      <c r="N431" s="15">
        <v>10</v>
      </c>
      <c r="O431" s="15">
        <v>10</v>
      </c>
    </row>
    <row r="432" spans="1:15" ht="16" x14ac:dyDescent="0.2">
      <c r="A432" s="18" t="s">
        <v>503</v>
      </c>
      <c r="B432" s="11">
        <v>10</v>
      </c>
      <c r="C432" s="3"/>
      <c r="D432" s="15">
        <v>10</v>
      </c>
      <c r="E432" s="15">
        <v>10</v>
      </c>
      <c r="F432" s="15">
        <v>10</v>
      </c>
      <c r="G432" s="15">
        <v>10</v>
      </c>
      <c r="H432" s="15">
        <v>10</v>
      </c>
      <c r="I432" s="15">
        <v>10</v>
      </c>
      <c r="J432" s="15">
        <v>10</v>
      </c>
      <c r="K432" s="15">
        <v>10</v>
      </c>
      <c r="L432" s="15">
        <v>10</v>
      </c>
      <c r="M432" s="15">
        <v>10</v>
      </c>
      <c r="N432" s="15">
        <v>10</v>
      </c>
      <c r="O432" s="15">
        <v>10</v>
      </c>
    </row>
    <row r="433" spans="1:15" ht="16" x14ac:dyDescent="0.2">
      <c r="A433" s="10" t="s">
        <v>504</v>
      </c>
      <c r="B433" s="11">
        <v>10</v>
      </c>
      <c r="C433" s="3"/>
      <c r="D433" s="12">
        <v>10</v>
      </c>
      <c r="E433" s="15">
        <v>20</v>
      </c>
      <c r="F433" s="12">
        <v>10</v>
      </c>
      <c r="G433" s="12">
        <v>10</v>
      </c>
      <c r="H433" s="12">
        <v>10</v>
      </c>
      <c r="I433" s="12">
        <v>10</v>
      </c>
      <c r="J433" s="12">
        <v>10</v>
      </c>
      <c r="K433" s="12">
        <v>10</v>
      </c>
      <c r="L433" s="12">
        <v>10</v>
      </c>
      <c r="M433" s="12">
        <v>10</v>
      </c>
      <c r="N433" s="12">
        <v>10</v>
      </c>
      <c r="O433" s="12">
        <v>10</v>
      </c>
    </row>
    <row r="434" spans="1:15" ht="16" x14ac:dyDescent="0.2">
      <c r="A434" s="10" t="s">
        <v>505</v>
      </c>
      <c r="B434" s="11">
        <v>10</v>
      </c>
      <c r="C434" s="3"/>
      <c r="D434" s="15">
        <v>10</v>
      </c>
      <c r="E434" s="12">
        <v>0</v>
      </c>
      <c r="F434" s="15">
        <v>10</v>
      </c>
      <c r="G434" s="15">
        <v>10</v>
      </c>
      <c r="H434" s="12">
        <v>0</v>
      </c>
      <c r="I434" s="12">
        <v>0</v>
      </c>
      <c r="J434" s="12">
        <v>0</v>
      </c>
      <c r="K434" s="15">
        <v>10</v>
      </c>
      <c r="L434" s="15">
        <v>10</v>
      </c>
      <c r="M434" s="15">
        <v>10</v>
      </c>
      <c r="N434" s="15">
        <v>10</v>
      </c>
      <c r="O434" s="15">
        <v>10</v>
      </c>
    </row>
    <row r="435" spans="1:15" ht="16" x14ac:dyDescent="0.2">
      <c r="A435" s="167" t="s">
        <v>506</v>
      </c>
      <c r="B435" s="90">
        <v>10</v>
      </c>
      <c r="C435" s="3"/>
      <c r="D435" s="91">
        <v>10</v>
      </c>
      <c r="E435" s="91">
        <v>10</v>
      </c>
      <c r="F435" s="91">
        <v>10</v>
      </c>
      <c r="G435" s="91">
        <v>10</v>
      </c>
      <c r="H435" s="91">
        <v>10</v>
      </c>
      <c r="I435" s="91">
        <v>10</v>
      </c>
      <c r="J435" s="91">
        <v>10</v>
      </c>
      <c r="K435" s="91">
        <v>10</v>
      </c>
      <c r="L435" s="91">
        <v>10</v>
      </c>
      <c r="M435" s="91">
        <v>10</v>
      </c>
      <c r="N435" s="91">
        <v>10</v>
      </c>
      <c r="O435" s="91">
        <v>10</v>
      </c>
    </row>
    <row r="436" spans="1:15" ht="16" x14ac:dyDescent="0.2">
      <c r="A436" s="10" t="s">
        <v>507</v>
      </c>
      <c r="B436" s="11">
        <v>10</v>
      </c>
      <c r="C436" s="3"/>
      <c r="D436" s="15">
        <v>20</v>
      </c>
      <c r="E436" s="15">
        <v>20</v>
      </c>
      <c r="F436" s="12">
        <v>10</v>
      </c>
      <c r="G436" s="12">
        <v>10</v>
      </c>
      <c r="H436" s="12">
        <v>10</v>
      </c>
      <c r="I436" s="12">
        <v>10</v>
      </c>
      <c r="J436" s="12">
        <v>10</v>
      </c>
      <c r="K436" s="12">
        <v>10</v>
      </c>
      <c r="L436" s="12">
        <v>10</v>
      </c>
      <c r="M436" s="12">
        <v>10</v>
      </c>
      <c r="N436" s="15">
        <v>20</v>
      </c>
      <c r="O436" s="15">
        <v>20</v>
      </c>
    </row>
    <row r="437" spans="1:15" ht="16" x14ac:dyDescent="0.2">
      <c r="A437" s="10" t="s">
        <v>508</v>
      </c>
      <c r="B437" s="11">
        <v>10</v>
      </c>
      <c r="C437" s="3"/>
      <c r="D437" s="12">
        <v>10</v>
      </c>
      <c r="E437" s="12">
        <v>10</v>
      </c>
      <c r="F437" s="12">
        <v>10</v>
      </c>
      <c r="G437" s="12">
        <v>10</v>
      </c>
      <c r="H437" s="12">
        <v>10</v>
      </c>
      <c r="I437" s="12">
        <v>10</v>
      </c>
      <c r="J437" s="12">
        <v>10</v>
      </c>
      <c r="K437" s="12">
        <v>10</v>
      </c>
      <c r="L437" s="12">
        <v>10</v>
      </c>
      <c r="M437" s="15">
        <v>30</v>
      </c>
      <c r="N437" s="111">
        <v>20</v>
      </c>
      <c r="O437" s="111">
        <v>20</v>
      </c>
    </row>
    <row r="438" spans="1:15" ht="16" x14ac:dyDescent="0.2">
      <c r="A438" s="10" t="s">
        <v>509</v>
      </c>
      <c r="B438" s="11">
        <v>10</v>
      </c>
      <c r="C438" s="3"/>
      <c r="D438" s="12">
        <v>0</v>
      </c>
      <c r="E438" s="15">
        <v>10</v>
      </c>
      <c r="F438" s="15">
        <v>10</v>
      </c>
      <c r="G438" s="15">
        <v>10</v>
      </c>
      <c r="H438" s="15">
        <v>10</v>
      </c>
      <c r="I438" s="15">
        <v>10</v>
      </c>
      <c r="J438" s="15">
        <v>10</v>
      </c>
      <c r="K438" s="15">
        <v>10</v>
      </c>
      <c r="L438" s="15">
        <v>10</v>
      </c>
      <c r="M438" s="15">
        <v>10</v>
      </c>
      <c r="N438" s="12">
        <v>0</v>
      </c>
      <c r="O438" s="12">
        <v>0</v>
      </c>
    </row>
    <row r="439" spans="1:15" ht="16" x14ac:dyDescent="0.2">
      <c r="A439" s="10" t="s">
        <v>510</v>
      </c>
      <c r="B439" s="11">
        <v>10</v>
      </c>
      <c r="C439" s="3"/>
      <c r="D439" s="12">
        <v>0</v>
      </c>
      <c r="E439" s="15">
        <v>10</v>
      </c>
      <c r="F439" s="15">
        <v>10</v>
      </c>
      <c r="G439" s="15">
        <v>10</v>
      </c>
      <c r="H439" s="15">
        <v>10</v>
      </c>
      <c r="I439" s="15">
        <v>10</v>
      </c>
      <c r="J439" s="15">
        <v>10</v>
      </c>
      <c r="K439" s="15">
        <v>10</v>
      </c>
      <c r="L439" s="15">
        <v>10</v>
      </c>
      <c r="M439" s="15">
        <v>10</v>
      </c>
      <c r="N439" s="12">
        <v>0</v>
      </c>
      <c r="O439" s="12">
        <v>0</v>
      </c>
    </row>
    <row r="440" spans="1:15" ht="16" x14ac:dyDescent="0.2">
      <c r="A440" s="10" t="s">
        <v>511</v>
      </c>
      <c r="B440" s="11">
        <v>10</v>
      </c>
      <c r="C440" s="3"/>
      <c r="D440" s="15">
        <v>10</v>
      </c>
      <c r="E440" s="12">
        <v>0</v>
      </c>
      <c r="F440" s="12">
        <v>0</v>
      </c>
      <c r="G440" s="15">
        <v>10</v>
      </c>
      <c r="H440" s="15">
        <v>10</v>
      </c>
      <c r="I440" s="15">
        <v>10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</row>
    <row r="441" spans="1:15" ht="16" x14ac:dyDescent="0.2">
      <c r="A441" s="10" t="s">
        <v>512</v>
      </c>
      <c r="B441" s="11">
        <v>10</v>
      </c>
      <c r="C441" s="3"/>
      <c r="D441" s="12">
        <v>0</v>
      </c>
      <c r="E441" s="12">
        <v>0</v>
      </c>
      <c r="F441" s="15">
        <v>10</v>
      </c>
      <c r="G441" s="15">
        <v>10</v>
      </c>
      <c r="H441" s="15">
        <v>10</v>
      </c>
      <c r="I441" s="12">
        <v>0</v>
      </c>
      <c r="J441" s="15">
        <v>10</v>
      </c>
      <c r="K441" s="15">
        <v>10</v>
      </c>
      <c r="L441" s="15">
        <v>10</v>
      </c>
      <c r="M441" s="15">
        <v>10</v>
      </c>
      <c r="N441" s="15">
        <v>10</v>
      </c>
      <c r="O441" s="15">
        <v>10</v>
      </c>
    </row>
    <row r="442" spans="1:15" ht="16" x14ac:dyDescent="0.2">
      <c r="A442" s="10" t="s">
        <v>513</v>
      </c>
      <c r="B442" s="11">
        <v>10</v>
      </c>
      <c r="C442" s="3"/>
      <c r="D442" s="15">
        <v>10</v>
      </c>
      <c r="E442" s="15">
        <v>10</v>
      </c>
      <c r="F442" s="15">
        <v>10</v>
      </c>
      <c r="G442" s="15">
        <v>10</v>
      </c>
      <c r="H442" s="15">
        <v>10</v>
      </c>
      <c r="I442" s="12">
        <v>0</v>
      </c>
      <c r="J442" s="15">
        <v>10</v>
      </c>
      <c r="K442" s="15">
        <v>10</v>
      </c>
      <c r="L442" s="15">
        <v>10</v>
      </c>
      <c r="M442" s="15">
        <v>10</v>
      </c>
      <c r="N442" s="12">
        <v>0</v>
      </c>
      <c r="O442" s="12">
        <v>0</v>
      </c>
    </row>
    <row r="443" spans="1:15" ht="16" x14ac:dyDescent="0.2">
      <c r="A443" s="10" t="s">
        <v>514</v>
      </c>
      <c r="B443" s="11">
        <v>10</v>
      </c>
      <c r="C443" s="3"/>
      <c r="D443" s="12">
        <v>0</v>
      </c>
      <c r="E443" s="15">
        <v>10</v>
      </c>
      <c r="F443" s="12">
        <v>0</v>
      </c>
      <c r="G443" s="12">
        <v>0</v>
      </c>
      <c r="H443" s="12">
        <v>0</v>
      </c>
      <c r="I443" s="12">
        <v>0</v>
      </c>
      <c r="J443" s="15">
        <v>10</v>
      </c>
      <c r="K443" s="15">
        <v>10</v>
      </c>
      <c r="L443" s="12">
        <v>0</v>
      </c>
      <c r="M443" s="15">
        <v>10</v>
      </c>
      <c r="N443" s="12">
        <v>0</v>
      </c>
      <c r="O443" s="12">
        <v>0</v>
      </c>
    </row>
    <row r="444" spans="1:15" ht="16" x14ac:dyDescent="0.2">
      <c r="A444" s="10" t="s">
        <v>515</v>
      </c>
      <c r="B444" s="11">
        <v>10</v>
      </c>
      <c r="C444" s="3"/>
      <c r="D444" s="12">
        <v>0</v>
      </c>
      <c r="E444" s="12">
        <v>0</v>
      </c>
      <c r="F444" s="12">
        <v>0</v>
      </c>
      <c r="G444" s="15">
        <v>10</v>
      </c>
      <c r="H444" s="15">
        <v>10</v>
      </c>
      <c r="I444" s="12">
        <v>0</v>
      </c>
      <c r="J444" s="15">
        <v>10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</row>
    <row r="445" spans="1:15" ht="16" x14ac:dyDescent="0.2">
      <c r="A445" s="10" t="s">
        <v>516</v>
      </c>
      <c r="B445" s="11">
        <v>10</v>
      </c>
      <c r="C445" s="3"/>
      <c r="D445" s="15">
        <v>10</v>
      </c>
      <c r="E445" s="15">
        <v>10</v>
      </c>
      <c r="F445" s="15">
        <v>10</v>
      </c>
      <c r="G445" s="12">
        <v>0</v>
      </c>
      <c r="H445" s="15">
        <v>10</v>
      </c>
      <c r="I445" s="12">
        <v>0</v>
      </c>
      <c r="J445" s="15">
        <v>10</v>
      </c>
      <c r="K445" s="15">
        <v>10</v>
      </c>
      <c r="L445" s="15">
        <v>10</v>
      </c>
      <c r="M445" s="15">
        <v>10</v>
      </c>
      <c r="N445" s="12">
        <v>0</v>
      </c>
      <c r="O445" s="12">
        <v>0</v>
      </c>
    </row>
    <row r="446" spans="1:15" ht="16" x14ac:dyDescent="0.2">
      <c r="A446" s="10" t="s">
        <v>517</v>
      </c>
      <c r="B446" s="11">
        <v>10</v>
      </c>
      <c r="C446" s="3"/>
      <c r="D446" s="15">
        <v>0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</row>
    <row r="447" spans="1:15" ht="16" x14ac:dyDescent="0.2">
      <c r="A447" s="10" t="s">
        <v>518</v>
      </c>
      <c r="B447" s="11">
        <v>10</v>
      </c>
      <c r="C447" s="3"/>
      <c r="D447" s="12">
        <v>10</v>
      </c>
      <c r="E447" s="12">
        <v>10</v>
      </c>
      <c r="F447" s="15">
        <v>20</v>
      </c>
      <c r="G447" s="12">
        <v>10</v>
      </c>
      <c r="H447" s="12">
        <v>10</v>
      </c>
      <c r="I447" s="15">
        <v>20</v>
      </c>
      <c r="J447" s="12">
        <v>10</v>
      </c>
      <c r="K447" s="12">
        <v>10</v>
      </c>
      <c r="L447" s="12">
        <v>10</v>
      </c>
      <c r="M447" s="12">
        <v>10</v>
      </c>
      <c r="N447" s="12">
        <v>10</v>
      </c>
      <c r="O447" s="12">
        <v>10</v>
      </c>
    </row>
    <row r="448" spans="1:15" ht="16" x14ac:dyDescent="0.2">
      <c r="A448" s="144" t="s">
        <v>519</v>
      </c>
      <c r="B448" s="11">
        <v>10</v>
      </c>
      <c r="C448" s="3"/>
      <c r="D448" s="15">
        <v>10</v>
      </c>
      <c r="E448" s="15">
        <v>10</v>
      </c>
      <c r="F448" s="15">
        <v>10</v>
      </c>
      <c r="G448" s="15">
        <v>10</v>
      </c>
      <c r="H448" s="15">
        <v>10</v>
      </c>
      <c r="I448" s="15">
        <v>10</v>
      </c>
      <c r="J448" s="12">
        <v>0</v>
      </c>
      <c r="K448" s="12">
        <v>0</v>
      </c>
      <c r="L448" s="12">
        <v>0</v>
      </c>
      <c r="M448" s="15">
        <v>10</v>
      </c>
      <c r="N448" s="12">
        <v>0</v>
      </c>
      <c r="O448" s="12">
        <v>0</v>
      </c>
    </row>
    <row r="449" spans="1:15" ht="16" x14ac:dyDescent="0.2">
      <c r="A449" s="10" t="s">
        <v>520</v>
      </c>
      <c r="B449" s="11">
        <v>10</v>
      </c>
      <c r="C449" s="3"/>
      <c r="D449" s="15">
        <v>20</v>
      </c>
      <c r="E449" s="15">
        <v>20</v>
      </c>
      <c r="F449" s="12">
        <v>10</v>
      </c>
      <c r="G449" s="15">
        <v>20</v>
      </c>
      <c r="H449" s="15">
        <v>20</v>
      </c>
      <c r="I449" s="12">
        <v>10</v>
      </c>
      <c r="J449" s="12">
        <v>10</v>
      </c>
      <c r="K449" s="15">
        <v>20</v>
      </c>
      <c r="L449" s="12">
        <v>10</v>
      </c>
      <c r="M449" s="12">
        <v>10</v>
      </c>
      <c r="N449" s="12">
        <v>10</v>
      </c>
      <c r="O449" s="12">
        <v>10</v>
      </c>
    </row>
    <row r="450" spans="1:15" ht="16" x14ac:dyDescent="0.2">
      <c r="A450" s="10" t="s">
        <v>521</v>
      </c>
      <c r="B450" s="11">
        <v>10</v>
      </c>
      <c r="C450" s="3"/>
      <c r="D450" s="15">
        <v>10</v>
      </c>
      <c r="E450" s="15">
        <v>10</v>
      </c>
      <c r="F450" s="15">
        <v>10</v>
      </c>
      <c r="G450" s="15">
        <v>10</v>
      </c>
      <c r="H450" s="15">
        <v>10</v>
      </c>
      <c r="I450" s="15">
        <v>10</v>
      </c>
      <c r="J450" s="12">
        <v>0</v>
      </c>
      <c r="K450" s="15">
        <v>10</v>
      </c>
      <c r="L450" s="15">
        <v>10</v>
      </c>
      <c r="M450" s="12">
        <v>0</v>
      </c>
      <c r="N450" s="12">
        <v>0</v>
      </c>
      <c r="O450" s="12">
        <v>0</v>
      </c>
    </row>
    <row r="451" spans="1:15" ht="16" x14ac:dyDescent="0.2">
      <c r="A451" s="10" t="s">
        <v>522</v>
      </c>
      <c r="B451" s="11">
        <v>10</v>
      </c>
      <c r="C451" s="3"/>
      <c r="D451" s="12">
        <v>10</v>
      </c>
      <c r="E451" s="12">
        <v>10</v>
      </c>
      <c r="F451" s="12">
        <v>10</v>
      </c>
      <c r="G451" s="12">
        <v>10</v>
      </c>
      <c r="H451" s="12">
        <v>10</v>
      </c>
      <c r="I451" s="12">
        <v>10</v>
      </c>
      <c r="J451" s="12">
        <v>10</v>
      </c>
      <c r="K451" s="12">
        <v>10</v>
      </c>
      <c r="L451" s="12">
        <v>10</v>
      </c>
      <c r="M451" s="15">
        <v>20</v>
      </c>
      <c r="N451" s="12">
        <v>10</v>
      </c>
      <c r="O451" s="12">
        <v>10</v>
      </c>
    </row>
    <row r="452" spans="1:15" ht="16" x14ac:dyDescent="0.2">
      <c r="A452" s="10" t="s">
        <v>523</v>
      </c>
      <c r="B452" s="11">
        <v>10</v>
      </c>
      <c r="C452" s="3"/>
      <c r="D452" s="12">
        <v>10</v>
      </c>
      <c r="E452" s="15">
        <v>20</v>
      </c>
      <c r="F452" s="12">
        <v>10</v>
      </c>
      <c r="G452" s="15">
        <v>20</v>
      </c>
      <c r="H452" s="12">
        <v>10</v>
      </c>
      <c r="I452" s="12">
        <v>10</v>
      </c>
      <c r="J452" s="12">
        <v>10</v>
      </c>
      <c r="K452" s="12">
        <v>10</v>
      </c>
      <c r="L452" s="12">
        <v>10</v>
      </c>
      <c r="M452" s="12">
        <v>10</v>
      </c>
      <c r="N452" s="12">
        <v>10</v>
      </c>
      <c r="O452" s="12">
        <v>10</v>
      </c>
    </row>
    <row r="453" spans="1:15" ht="16" x14ac:dyDescent="0.2">
      <c r="A453" s="10" t="s">
        <v>524</v>
      </c>
      <c r="B453" s="11">
        <v>10</v>
      </c>
      <c r="C453" s="3"/>
      <c r="D453" s="12">
        <v>0</v>
      </c>
      <c r="E453" s="15">
        <v>10</v>
      </c>
      <c r="F453" s="15">
        <v>10</v>
      </c>
      <c r="G453" s="15">
        <v>10</v>
      </c>
      <c r="H453" s="15">
        <v>10</v>
      </c>
      <c r="I453" s="15">
        <v>10</v>
      </c>
      <c r="J453" s="12">
        <v>0</v>
      </c>
      <c r="K453" s="15">
        <v>10</v>
      </c>
      <c r="L453" s="15">
        <v>10</v>
      </c>
      <c r="M453" s="15">
        <v>10</v>
      </c>
      <c r="N453" s="15">
        <v>10</v>
      </c>
      <c r="O453" s="15">
        <v>10</v>
      </c>
    </row>
    <row r="454" spans="1:15" ht="16" x14ac:dyDescent="0.2">
      <c r="A454" s="10" t="s">
        <v>525</v>
      </c>
      <c r="B454" s="11">
        <v>10</v>
      </c>
      <c r="C454" s="3"/>
      <c r="D454" s="12">
        <v>0</v>
      </c>
      <c r="E454" s="13">
        <v>10</v>
      </c>
      <c r="F454" s="12">
        <v>0</v>
      </c>
      <c r="G454" s="12">
        <v>0</v>
      </c>
      <c r="H454" s="13">
        <v>10</v>
      </c>
      <c r="I454" s="15">
        <v>20</v>
      </c>
      <c r="J454" s="13">
        <v>10</v>
      </c>
      <c r="K454" s="13">
        <v>10</v>
      </c>
      <c r="L454" s="13">
        <v>10</v>
      </c>
      <c r="M454" s="13">
        <v>10</v>
      </c>
      <c r="N454" s="13">
        <v>10</v>
      </c>
      <c r="O454" s="13">
        <v>10</v>
      </c>
    </row>
    <row r="455" spans="1:15" ht="16" x14ac:dyDescent="0.2">
      <c r="A455" s="10" t="s">
        <v>526</v>
      </c>
      <c r="B455" s="11">
        <v>10</v>
      </c>
      <c r="C455" s="3"/>
      <c r="D455" s="15">
        <v>10</v>
      </c>
      <c r="E455" s="15">
        <v>10</v>
      </c>
      <c r="F455" s="15">
        <v>10</v>
      </c>
      <c r="G455" s="15">
        <v>10</v>
      </c>
      <c r="H455" s="15">
        <v>10</v>
      </c>
      <c r="I455" s="15">
        <v>10</v>
      </c>
      <c r="J455" s="15">
        <v>10</v>
      </c>
      <c r="K455" s="15">
        <v>10</v>
      </c>
      <c r="L455" s="12">
        <v>0</v>
      </c>
      <c r="M455" s="15">
        <v>10</v>
      </c>
      <c r="N455" s="12">
        <v>0</v>
      </c>
      <c r="O455" s="12">
        <v>0</v>
      </c>
    </row>
    <row r="456" spans="1:15" ht="16" x14ac:dyDescent="0.2">
      <c r="A456" s="10" t="s">
        <v>527</v>
      </c>
      <c r="B456" s="11">
        <v>10</v>
      </c>
      <c r="C456" s="3"/>
      <c r="D456" s="15">
        <v>10</v>
      </c>
      <c r="E456" s="15">
        <v>10</v>
      </c>
      <c r="F456" s="15">
        <v>10</v>
      </c>
      <c r="G456" s="15">
        <v>10</v>
      </c>
      <c r="H456" s="15">
        <v>10</v>
      </c>
      <c r="I456" s="15">
        <v>10</v>
      </c>
      <c r="J456" s="15">
        <v>10</v>
      </c>
      <c r="K456" s="12">
        <v>0</v>
      </c>
      <c r="L456" s="15">
        <v>10</v>
      </c>
      <c r="M456" s="12">
        <v>0</v>
      </c>
      <c r="N456" s="12">
        <v>0</v>
      </c>
      <c r="O456" s="12">
        <v>0</v>
      </c>
    </row>
    <row r="457" spans="1:15" ht="16" x14ac:dyDescent="0.2">
      <c r="A457" s="10" t="s">
        <v>528</v>
      </c>
      <c r="B457" s="11">
        <v>10</v>
      </c>
      <c r="C457" s="3"/>
      <c r="D457" s="12">
        <v>10</v>
      </c>
      <c r="E457" s="12">
        <v>10</v>
      </c>
      <c r="F457" s="78">
        <v>20</v>
      </c>
      <c r="G457" s="12">
        <v>10</v>
      </c>
      <c r="H457" s="12">
        <v>10</v>
      </c>
      <c r="I457" s="15">
        <v>50</v>
      </c>
      <c r="J457" s="12">
        <v>10</v>
      </c>
      <c r="K457" s="12">
        <v>10</v>
      </c>
      <c r="L457" s="111">
        <v>30</v>
      </c>
      <c r="M457" s="12">
        <v>10</v>
      </c>
      <c r="N457" s="12">
        <v>10</v>
      </c>
      <c r="O457" s="12">
        <v>10</v>
      </c>
    </row>
    <row r="458" spans="1:15" ht="16" x14ac:dyDescent="0.2">
      <c r="A458" s="10" t="s">
        <v>531</v>
      </c>
      <c r="B458" s="11">
        <v>10</v>
      </c>
      <c r="C458" s="3"/>
      <c r="D458" s="15">
        <v>10</v>
      </c>
      <c r="E458" s="15">
        <v>10</v>
      </c>
      <c r="F458" s="15">
        <v>10</v>
      </c>
      <c r="G458" s="15">
        <v>10</v>
      </c>
      <c r="H458" s="15">
        <v>10</v>
      </c>
      <c r="I458" s="15">
        <v>10</v>
      </c>
      <c r="J458" s="15">
        <v>10</v>
      </c>
      <c r="K458" s="15">
        <v>10</v>
      </c>
      <c r="L458" s="15">
        <v>10</v>
      </c>
      <c r="M458" s="15">
        <v>10</v>
      </c>
      <c r="N458" s="15">
        <v>10</v>
      </c>
      <c r="O458" s="15">
        <v>10</v>
      </c>
    </row>
    <row r="459" spans="1:15" ht="16" x14ac:dyDescent="0.2">
      <c r="A459" s="10" t="s">
        <v>532</v>
      </c>
      <c r="B459" s="11">
        <v>10</v>
      </c>
      <c r="C459" s="3"/>
      <c r="D459" s="12">
        <v>10</v>
      </c>
      <c r="E459" s="12">
        <v>10</v>
      </c>
      <c r="F459" s="12">
        <v>10</v>
      </c>
      <c r="G459" s="12">
        <v>10</v>
      </c>
      <c r="H459" s="15">
        <v>20</v>
      </c>
      <c r="I459" s="12">
        <v>10</v>
      </c>
      <c r="J459" s="12">
        <v>10</v>
      </c>
      <c r="K459" s="12">
        <v>10</v>
      </c>
      <c r="L459" s="12">
        <v>10</v>
      </c>
      <c r="M459" s="12">
        <v>10</v>
      </c>
      <c r="N459" s="12">
        <v>10</v>
      </c>
      <c r="O459" s="12">
        <v>10</v>
      </c>
    </row>
    <row r="460" spans="1:15" ht="16" x14ac:dyDescent="0.2">
      <c r="A460" s="10" t="s">
        <v>533</v>
      </c>
      <c r="B460" s="11">
        <v>10</v>
      </c>
      <c r="C460" s="3"/>
      <c r="D460" s="12">
        <v>10</v>
      </c>
      <c r="E460" s="111">
        <v>20</v>
      </c>
      <c r="F460" s="12">
        <v>10</v>
      </c>
      <c r="G460" s="15">
        <v>30</v>
      </c>
      <c r="H460" s="12">
        <v>10</v>
      </c>
      <c r="I460" s="12">
        <v>10</v>
      </c>
      <c r="J460" s="12">
        <v>10</v>
      </c>
      <c r="K460" s="12">
        <v>10</v>
      </c>
      <c r="L460" s="12">
        <v>10</v>
      </c>
      <c r="M460" s="12">
        <v>10</v>
      </c>
      <c r="N460" s="12">
        <v>10</v>
      </c>
      <c r="O460" s="12">
        <v>10</v>
      </c>
    </row>
    <row r="461" spans="1:15" ht="16" x14ac:dyDescent="0.2">
      <c r="A461" s="10" t="s">
        <v>534</v>
      </c>
      <c r="B461" s="11">
        <v>10</v>
      </c>
      <c r="C461" s="3"/>
      <c r="D461" s="12">
        <v>10</v>
      </c>
      <c r="E461" s="111">
        <v>20</v>
      </c>
      <c r="F461" s="12">
        <v>10</v>
      </c>
      <c r="G461" s="15">
        <v>30</v>
      </c>
      <c r="H461" s="12">
        <v>10</v>
      </c>
      <c r="I461" s="12">
        <v>10</v>
      </c>
      <c r="J461" s="12">
        <v>10</v>
      </c>
      <c r="K461" s="12">
        <v>10</v>
      </c>
      <c r="L461" s="12">
        <v>10</v>
      </c>
      <c r="M461" s="12">
        <v>10</v>
      </c>
      <c r="N461" s="12">
        <v>10</v>
      </c>
      <c r="O461" s="12">
        <v>10</v>
      </c>
    </row>
    <row r="462" spans="1:15" ht="16" x14ac:dyDescent="0.2">
      <c r="A462" s="10" t="s">
        <v>535</v>
      </c>
      <c r="B462" s="11">
        <v>10</v>
      </c>
      <c r="C462" s="3"/>
      <c r="D462" s="15">
        <v>10</v>
      </c>
      <c r="E462" s="12">
        <v>0</v>
      </c>
      <c r="F462" s="15">
        <v>10</v>
      </c>
      <c r="G462" s="15">
        <v>10</v>
      </c>
      <c r="H462" s="15">
        <v>10</v>
      </c>
      <c r="I462" s="15">
        <v>10</v>
      </c>
      <c r="J462" s="15">
        <v>10</v>
      </c>
      <c r="K462" s="12">
        <v>0</v>
      </c>
      <c r="L462" s="15">
        <v>10</v>
      </c>
      <c r="M462" s="12">
        <v>0</v>
      </c>
      <c r="N462" s="15">
        <v>10</v>
      </c>
      <c r="O462" s="15">
        <v>10</v>
      </c>
    </row>
    <row r="463" spans="1:15" ht="16" x14ac:dyDescent="0.2">
      <c r="A463" s="10" t="s">
        <v>588</v>
      </c>
      <c r="B463" s="11">
        <v>10</v>
      </c>
      <c r="C463" s="3"/>
      <c r="D463" s="15">
        <v>10</v>
      </c>
      <c r="E463" s="15">
        <v>10</v>
      </c>
      <c r="F463" s="15">
        <v>10</v>
      </c>
      <c r="G463" s="15">
        <v>10</v>
      </c>
      <c r="H463" s="15">
        <v>10</v>
      </c>
      <c r="I463" s="15">
        <v>10</v>
      </c>
      <c r="J463" s="15">
        <v>10</v>
      </c>
      <c r="K463" s="15">
        <v>10</v>
      </c>
      <c r="L463" s="15">
        <v>10</v>
      </c>
      <c r="M463" s="15">
        <v>10</v>
      </c>
      <c r="N463" s="15">
        <v>10</v>
      </c>
      <c r="O463" s="15">
        <v>10</v>
      </c>
    </row>
    <row r="464" spans="1:15" ht="16" x14ac:dyDescent="0.2">
      <c r="A464" s="10" t="s">
        <v>536</v>
      </c>
      <c r="B464" s="11">
        <v>10</v>
      </c>
      <c r="C464" s="3"/>
      <c r="D464" s="12">
        <v>10</v>
      </c>
      <c r="E464" s="12">
        <v>10</v>
      </c>
      <c r="F464" s="15">
        <v>20</v>
      </c>
      <c r="G464" s="12">
        <v>10</v>
      </c>
      <c r="H464" s="12">
        <v>10</v>
      </c>
      <c r="I464" s="12">
        <v>10</v>
      </c>
      <c r="J464" s="12">
        <v>10</v>
      </c>
      <c r="K464" s="12">
        <v>10</v>
      </c>
      <c r="L464" s="12">
        <v>10</v>
      </c>
      <c r="M464" s="12">
        <v>10</v>
      </c>
      <c r="N464" s="12">
        <v>10</v>
      </c>
      <c r="O464" s="12">
        <v>10</v>
      </c>
    </row>
    <row r="465" spans="1:15" ht="16" x14ac:dyDescent="0.2">
      <c r="A465" s="10" t="s">
        <v>537</v>
      </c>
      <c r="B465" s="11">
        <v>10</v>
      </c>
      <c r="C465" s="3"/>
      <c r="D465" s="15">
        <v>20</v>
      </c>
      <c r="E465" s="12">
        <v>10</v>
      </c>
      <c r="F465" s="12">
        <v>10</v>
      </c>
      <c r="G465" s="12">
        <v>10</v>
      </c>
      <c r="H465" s="12">
        <v>10</v>
      </c>
      <c r="I465" s="12">
        <v>10</v>
      </c>
      <c r="J465" s="12">
        <v>10</v>
      </c>
      <c r="K465" s="15">
        <v>20</v>
      </c>
      <c r="L465" s="12">
        <v>10</v>
      </c>
      <c r="M465" s="12">
        <v>10</v>
      </c>
      <c r="N465" s="12">
        <v>10</v>
      </c>
      <c r="O465" s="12">
        <v>10</v>
      </c>
    </row>
    <row r="466" spans="1:15" ht="16" x14ac:dyDescent="0.2">
      <c r="A466" s="10" t="s">
        <v>538</v>
      </c>
      <c r="B466" s="11">
        <v>10</v>
      </c>
      <c r="C466" s="3"/>
      <c r="D466" s="15">
        <v>10</v>
      </c>
      <c r="E466" s="15">
        <v>10</v>
      </c>
      <c r="F466" s="15">
        <v>10</v>
      </c>
      <c r="G466" s="15">
        <v>10</v>
      </c>
      <c r="H466" s="15">
        <v>10</v>
      </c>
      <c r="I466" s="15">
        <v>10</v>
      </c>
      <c r="J466" s="15">
        <v>10</v>
      </c>
      <c r="K466" s="15">
        <v>10</v>
      </c>
      <c r="L466" s="15">
        <v>10</v>
      </c>
      <c r="M466" s="15">
        <v>10</v>
      </c>
      <c r="N466" s="15">
        <v>10</v>
      </c>
      <c r="O466" s="15">
        <v>10</v>
      </c>
    </row>
    <row r="467" spans="1:15" ht="16" x14ac:dyDescent="0.2">
      <c r="A467" s="10" t="s">
        <v>539</v>
      </c>
      <c r="B467" s="11">
        <v>10</v>
      </c>
      <c r="C467" s="3"/>
      <c r="D467" s="180">
        <v>10</v>
      </c>
      <c r="E467" s="180">
        <v>10</v>
      </c>
      <c r="F467" s="180">
        <v>10</v>
      </c>
      <c r="G467" s="180">
        <v>10</v>
      </c>
      <c r="H467" s="12">
        <v>0</v>
      </c>
      <c r="I467" s="180">
        <v>10</v>
      </c>
      <c r="J467" s="180">
        <v>10</v>
      </c>
      <c r="K467" s="180">
        <v>10</v>
      </c>
      <c r="L467" s="181">
        <v>20</v>
      </c>
      <c r="M467" s="180">
        <v>10</v>
      </c>
      <c r="N467" s="180">
        <v>10</v>
      </c>
      <c r="O467" s="180">
        <v>10</v>
      </c>
    </row>
    <row r="468" spans="1:15" ht="16" x14ac:dyDescent="0.2">
      <c r="A468" s="10" t="s">
        <v>540</v>
      </c>
      <c r="B468" s="11">
        <v>10</v>
      </c>
      <c r="C468" s="3"/>
      <c r="D468" s="12">
        <v>10</v>
      </c>
      <c r="E468" s="12">
        <v>10</v>
      </c>
      <c r="F468" s="12">
        <v>10</v>
      </c>
      <c r="G468" s="12">
        <v>10</v>
      </c>
      <c r="H468" s="12">
        <v>10</v>
      </c>
      <c r="I468" s="12">
        <v>10</v>
      </c>
      <c r="J468" s="12">
        <v>10</v>
      </c>
      <c r="K468" s="12">
        <v>10</v>
      </c>
      <c r="L468" s="12">
        <v>10</v>
      </c>
      <c r="M468" s="12">
        <v>10</v>
      </c>
      <c r="N468" s="12">
        <v>10</v>
      </c>
      <c r="O468" s="12">
        <v>10</v>
      </c>
    </row>
    <row r="469" spans="1:15" ht="16" x14ac:dyDescent="0.2">
      <c r="A469" s="10" t="s">
        <v>542</v>
      </c>
      <c r="B469" s="11">
        <v>10</v>
      </c>
      <c r="C469" s="3"/>
      <c r="D469" s="12">
        <v>10</v>
      </c>
      <c r="E469" s="12">
        <v>10</v>
      </c>
      <c r="F469" s="12">
        <v>10</v>
      </c>
      <c r="G469" s="12">
        <v>10</v>
      </c>
      <c r="H469" s="12">
        <v>10</v>
      </c>
      <c r="I469" s="12">
        <v>10</v>
      </c>
      <c r="J469" s="12">
        <v>10</v>
      </c>
      <c r="K469" s="182">
        <v>30</v>
      </c>
      <c r="L469" s="12">
        <v>10</v>
      </c>
      <c r="M469" s="12">
        <v>10</v>
      </c>
      <c r="N469" s="12">
        <v>10</v>
      </c>
      <c r="O469" s="12">
        <v>10</v>
      </c>
    </row>
    <row r="470" spans="1:15" ht="16" x14ac:dyDescent="0.2">
      <c r="A470" s="10" t="s">
        <v>543</v>
      </c>
      <c r="B470" s="11">
        <v>10</v>
      </c>
      <c r="C470" s="3"/>
      <c r="D470" s="12">
        <v>0</v>
      </c>
      <c r="E470" s="12">
        <v>0</v>
      </c>
      <c r="F470" s="15">
        <v>10</v>
      </c>
      <c r="G470" s="15">
        <v>10</v>
      </c>
      <c r="H470" s="15">
        <v>10</v>
      </c>
      <c r="I470" s="15">
        <v>10</v>
      </c>
      <c r="J470" s="12">
        <v>0</v>
      </c>
      <c r="K470" s="15">
        <v>10</v>
      </c>
      <c r="L470" s="15">
        <v>10</v>
      </c>
      <c r="M470" s="12">
        <v>0</v>
      </c>
      <c r="N470" s="15">
        <v>10</v>
      </c>
      <c r="O470" s="15">
        <v>10</v>
      </c>
    </row>
    <row r="471" spans="1:15" ht="16" x14ac:dyDescent="0.2">
      <c r="A471" s="10" t="s">
        <v>544</v>
      </c>
      <c r="B471" s="11">
        <v>10</v>
      </c>
      <c r="C471" s="3"/>
      <c r="D471" s="15">
        <v>10</v>
      </c>
      <c r="E471" s="15">
        <v>10</v>
      </c>
      <c r="F471" s="15">
        <v>10</v>
      </c>
      <c r="G471" s="15">
        <v>10</v>
      </c>
      <c r="H471" s="15">
        <v>10</v>
      </c>
      <c r="I471" s="12">
        <v>0</v>
      </c>
      <c r="J471" s="15">
        <v>10</v>
      </c>
      <c r="K471" s="15">
        <v>10</v>
      </c>
      <c r="L471" s="15">
        <v>10</v>
      </c>
      <c r="M471" s="12">
        <v>0</v>
      </c>
      <c r="N471" s="15">
        <v>10</v>
      </c>
      <c r="O471" s="15">
        <v>10</v>
      </c>
    </row>
    <row r="472" spans="1:15" ht="16" x14ac:dyDescent="0.2">
      <c r="A472" s="10" t="s">
        <v>545</v>
      </c>
      <c r="B472" s="11">
        <v>10</v>
      </c>
      <c r="C472" s="3"/>
      <c r="D472" s="15">
        <v>50</v>
      </c>
      <c r="E472" s="133">
        <v>20</v>
      </c>
      <c r="F472" s="12">
        <v>10</v>
      </c>
      <c r="G472" s="12">
        <v>10</v>
      </c>
      <c r="H472" s="12">
        <v>10</v>
      </c>
      <c r="I472" s="12">
        <v>10</v>
      </c>
      <c r="J472" s="12">
        <v>10</v>
      </c>
      <c r="K472" s="12">
        <v>10</v>
      </c>
      <c r="L472" s="12">
        <v>10</v>
      </c>
      <c r="M472" s="12">
        <v>10</v>
      </c>
      <c r="N472" s="12">
        <v>10</v>
      </c>
      <c r="O472" s="12">
        <v>10</v>
      </c>
    </row>
    <row r="473" spans="1:15" ht="16" x14ac:dyDescent="0.2">
      <c r="A473" s="10" t="s">
        <v>546</v>
      </c>
      <c r="B473" s="11">
        <v>10</v>
      </c>
      <c r="C473" s="3"/>
      <c r="D473" s="15">
        <v>10</v>
      </c>
      <c r="E473" s="15">
        <v>10</v>
      </c>
      <c r="F473" s="15">
        <v>10</v>
      </c>
      <c r="G473" s="15">
        <v>10</v>
      </c>
      <c r="H473" s="15">
        <v>10</v>
      </c>
      <c r="I473" s="15">
        <v>10</v>
      </c>
      <c r="J473" s="15">
        <v>10</v>
      </c>
      <c r="K473" s="15">
        <v>10</v>
      </c>
      <c r="L473" s="15">
        <v>10</v>
      </c>
      <c r="M473" s="15">
        <v>10</v>
      </c>
      <c r="N473" s="15">
        <v>10</v>
      </c>
      <c r="O473" s="15">
        <v>10</v>
      </c>
    </row>
    <row r="474" spans="1:15" ht="16" x14ac:dyDescent="0.2">
      <c r="A474" s="10" t="s">
        <v>547</v>
      </c>
      <c r="B474" s="11">
        <v>10</v>
      </c>
      <c r="C474" s="3"/>
      <c r="D474" s="15">
        <v>10</v>
      </c>
      <c r="E474" s="15">
        <v>10</v>
      </c>
      <c r="F474" s="15">
        <v>10</v>
      </c>
      <c r="G474" s="12">
        <v>0</v>
      </c>
      <c r="H474" s="12">
        <v>0</v>
      </c>
      <c r="I474" s="12">
        <v>0</v>
      </c>
      <c r="J474" s="12">
        <v>0</v>
      </c>
      <c r="K474" s="15">
        <v>10</v>
      </c>
      <c r="L474" s="12">
        <v>0</v>
      </c>
      <c r="M474" s="15">
        <v>10</v>
      </c>
      <c r="N474" s="12">
        <v>0</v>
      </c>
      <c r="O474" s="12">
        <v>0</v>
      </c>
    </row>
    <row r="475" spans="1:15" ht="16" x14ac:dyDescent="0.2">
      <c r="A475" s="10" t="s">
        <v>548</v>
      </c>
      <c r="B475" s="11">
        <v>10</v>
      </c>
      <c r="C475" s="3"/>
      <c r="D475" s="12">
        <v>10</v>
      </c>
      <c r="E475" s="12">
        <v>10</v>
      </c>
      <c r="F475" s="15">
        <v>20</v>
      </c>
      <c r="G475" s="15">
        <v>20</v>
      </c>
      <c r="H475" s="12">
        <v>10</v>
      </c>
      <c r="I475" s="12">
        <v>10</v>
      </c>
      <c r="J475" s="12">
        <v>10</v>
      </c>
      <c r="K475" s="12">
        <v>10</v>
      </c>
      <c r="L475" s="12">
        <v>10</v>
      </c>
      <c r="M475" s="12">
        <v>10</v>
      </c>
      <c r="N475" s="12">
        <v>10</v>
      </c>
      <c r="O475" s="12">
        <v>10</v>
      </c>
    </row>
    <row r="476" spans="1:15" ht="16" x14ac:dyDescent="0.2">
      <c r="A476" s="10" t="s">
        <v>549</v>
      </c>
      <c r="B476" s="11">
        <v>10</v>
      </c>
      <c r="C476" s="3"/>
      <c r="D476" s="15">
        <v>10</v>
      </c>
      <c r="E476" s="12">
        <v>0</v>
      </c>
      <c r="F476" s="15">
        <v>10</v>
      </c>
      <c r="G476" s="12">
        <v>0</v>
      </c>
      <c r="H476" s="12">
        <v>0</v>
      </c>
      <c r="I476" s="12">
        <v>0</v>
      </c>
      <c r="J476" s="15">
        <v>10</v>
      </c>
      <c r="K476" s="15">
        <v>10</v>
      </c>
      <c r="L476" s="15">
        <v>10</v>
      </c>
      <c r="M476" s="12">
        <v>0</v>
      </c>
      <c r="N476" s="15">
        <v>10</v>
      </c>
      <c r="O476" s="15">
        <v>10</v>
      </c>
    </row>
    <row r="477" spans="1:15" ht="16" x14ac:dyDescent="0.2">
      <c r="A477" s="10" t="s">
        <v>550</v>
      </c>
      <c r="B477" s="11">
        <v>10</v>
      </c>
      <c r="C477" s="3"/>
      <c r="D477" s="15">
        <v>10</v>
      </c>
      <c r="E477" s="15">
        <v>10</v>
      </c>
      <c r="F477" s="15">
        <v>10</v>
      </c>
      <c r="G477" s="12">
        <v>0</v>
      </c>
      <c r="H477" s="15">
        <v>10</v>
      </c>
      <c r="I477" s="15">
        <v>10</v>
      </c>
      <c r="J477" s="15">
        <v>10</v>
      </c>
      <c r="K477" s="15">
        <v>10</v>
      </c>
      <c r="L477" s="15">
        <v>10</v>
      </c>
      <c r="M477" s="15">
        <v>10</v>
      </c>
      <c r="N477" s="15">
        <v>10</v>
      </c>
      <c r="O477" s="15">
        <v>10</v>
      </c>
    </row>
    <row r="478" spans="1:15" ht="16" x14ac:dyDescent="0.2">
      <c r="A478" s="10" t="s">
        <v>551</v>
      </c>
      <c r="B478" s="11">
        <v>10</v>
      </c>
      <c r="C478" s="3"/>
      <c r="D478" s="15">
        <v>10</v>
      </c>
      <c r="E478" s="15">
        <v>10</v>
      </c>
      <c r="F478" s="15">
        <v>10</v>
      </c>
      <c r="G478" s="15">
        <v>10</v>
      </c>
      <c r="H478" s="15">
        <v>10</v>
      </c>
      <c r="I478" s="15">
        <v>10</v>
      </c>
      <c r="J478" s="15">
        <v>10</v>
      </c>
      <c r="K478" s="15">
        <v>10</v>
      </c>
      <c r="L478" s="15">
        <v>10</v>
      </c>
      <c r="M478" s="15">
        <v>10</v>
      </c>
      <c r="N478" s="15">
        <v>10</v>
      </c>
      <c r="O478" s="15">
        <v>10</v>
      </c>
    </row>
    <row r="479" spans="1:15" ht="16" x14ac:dyDescent="0.2">
      <c r="A479" s="10" t="s">
        <v>552</v>
      </c>
      <c r="B479" s="11">
        <v>10</v>
      </c>
      <c r="C479" s="3"/>
      <c r="D479" s="12">
        <v>0</v>
      </c>
      <c r="E479" s="12">
        <v>0</v>
      </c>
      <c r="F479" s="12">
        <v>0</v>
      </c>
      <c r="G479" s="12">
        <v>0</v>
      </c>
      <c r="H479" s="12">
        <v>0</v>
      </c>
      <c r="I479" s="15">
        <v>10</v>
      </c>
      <c r="J479" s="12">
        <v>0</v>
      </c>
      <c r="K479" s="12">
        <v>0</v>
      </c>
      <c r="L479" s="15">
        <v>10</v>
      </c>
      <c r="M479" s="12">
        <v>0</v>
      </c>
      <c r="N479" s="15">
        <v>10</v>
      </c>
      <c r="O479" s="15">
        <v>10</v>
      </c>
    </row>
    <row r="480" spans="1:15" ht="16" x14ac:dyDescent="0.2">
      <c r="A480" s="10" t="s">
        <v>553</v>
      </c>
      <c r="B480" s="11">
        <v>10</v>
      </c>
      <c r="C480" s="3"/>
      <c r="D480" s="15">
        <v>10</v>
      </c>
      <c r="E480" s="15">
        <v>10</v>
      </c>
      <c r="F480" s="15">
        <v>10</v>
      </c>
      <c r="G480" s="15">
        <v>10</v>
      </c>
      <c r="H480" s="15">
        <v>10</v>
      </c>
      <c r="I480" s="15">
        <v>10</v>
      </c>
      <c r="J480" s="15">
        <v>10</v>
      </c>
      <c r="K480" s="15">
        <v>10</v>
      </c>
      <c r="L480" s="15">
        <v>10</v>
      </c>
      <c r="M480" s="15">
        <v>10</v>
      </c>
      <c r="N480" s="15">
        <v>10</v>
      </c>
      <c r="O480" s="15">
        <v>10</v>
      </c>
    </row>
    <row r="481" spans="1:15" ht="16" x14ac:dyDescent="0.2">
      <c r="A481" s="10" t="s">
        <v>554</v>
      </c>
      <c r="B481" s="11">
        <v>10</v>
      </c>
      <c r="C481" s="3"/>
      <c r="D481" s="12">
        <v>10</v>
      </c>
      <c r="E481" s="15">
        <v>40</v>
      </c>
      <c r="F481" s="155">
        <v>20</v>
      </c>
      <c r="G481" s="12">
        <v>10</v>
      </c>
      <c r="H481" s="12">
        <v>10</v>
      </c>
      <c r="I481" s="12">
        <v>10</v>
      </c>
      <c r="J481" s="12">
        <v>10</v>
      </c>
      <c r="K481" s="12">
        <v>10</v>
      </c>
      <c r="L481" s="12">
        <v>10</v>
      </c>
      <c r="M481" s="12">
        <v>10</v>
      </c>
      <c r="N481" s="12">
        <v>10</v>
      </c>
      <c r="O481" s="12">
        <v>10</v>
      </c>
    </row>
    <row r="482" spans="1:15" ht="16" x14ac:dyDescent="0.2">
      <c r="A482" s="10" t="s">
        <v>555</v>
      </c>
      <c r="B482" s="11">
        <v>10</v>
      </c>
      <c r="C482" s="3"/>
      <c r="D482" s="15">
        <v>10</v>
      </c>
      <c r="E482" s="15">
        <v>10</v>
      </c>
      <c r="F482" s="15">
        <v>10</v>
      </c>
      <c r="G482" s="15">
        <v>10</v>
      </c>
      <c r="H482" s="15">
        <v>10</v>
      </c>
      <c r="I482" s="15">
        <v>10</v>
      </c>
      <c r="J482" s="15">
        <v>10</v>
      </c>
      <c r="K482" s="15">
        <v>10</v>
      </c>
      <c r="L482" s="15">
        <v>10</v>
      </c>
      <c r="M482" s="12">
        <v>0</v>
      </c>
      <c r="N482" s="12">
        <v>0</v>
      </c>
      <c r="O482" s="12">
        <v>0</v>
      </c>
    </row>
    <row r="483" spans="1:15" ht="16" x14ac:dyDescent="0.2">
      <c r="A483" s="10" t="s">
        <v>556</v>
      </c>
      <c r="B483" s="11">
        <v>10</v>
      </c>
      <c r="C483" s="3"/>
      <c r="D483" s="24">
        <v>10</v>
      </c>
      <c r="E483" s="24">
        <v>10</v>
      </c>
      <c r="F483" s="24">
        <v>10</v>
      </c>
      <c r="G483" s="24">
        <v>10</v>
      </c>
      <c r="H483" s="24">
        <v>10</v>
      </c>
      <c r="I483" s="24">
        <v>10</v>
      </c>
      <c r="J483" s="24">
        <v>10</v>
      </c>
      <c r="K483" s="12">
        <v>0</v>
      </c>
      <c r="L483" s="24">
        <v>10</v>
      </c>
      <c r="M483" s="15">
        <v>20</v>
      </c>
      <c r="N483" s="24">
        <v>10</v>
      </c>
      <c r="O483" s="24">
        <v>10</v>
      </c>
    </row>
    <row r="484" spans="1:15" ht="16" x14ac:dyDescent="0.2">
      <c r="A484" s="10" t="s">
        <v>557</v>
      </c>
      <c r="B484" s="11">
        <v>10</v>
      </c>
      <c r="C484" s="3"/>
      <c r="D484" s="15">
        <v>10</v>
      </c>
      <c r="E484" s="15">
        <v>10</v>
      </c>
      <c r="F484" s="12">
        <v>0</v>
      </c>
      <c r="G484" s="15">
        <v>10</v>
      </c>
      <c r="H484" s="12">
        <v>0</v>
      </c>
      <c r="I484" s="15">
        <v>10</v>
      </c>
      <c r="J484" s="15">
        <v>10</v>
      </c>
      <c r="K484" s="15">
        <v>10</v>
      </c>
      <c r="L484" s="12">
        <v>0</v>
      </c>
      <c r="M484" s="12">
        <v>0</v>
      </c>
      <c r="N484" s="15">
        <v>10</v>
      </c>
      <c r="O484" s="15">
        <v>10</v>
      </c>
    </row>
    <row r="485" spans="1:15" ht="16" x14ac:dyDescent="0.2">
      <c r="A485" s="10" t="s">
        <v>558</v>
      </c>
      <c r="B485" s="11">
        <v>10</v>
      </c>
      <c r="C485" s="3"/>
      <c r="D485" s="12">
        <v>10</v>
      </c>
      <c r="E485" s="12">
        <v>10</v>
      </c>
      <c r="F485" s="12">
        <v>10</v>
      </c>
      <c r="G485" s="12">
        <v>10</v>
      </c>
      <c r="H485" s="12">
        <v>10</v>
      </c>
      <c r="I485" s="12">
        <v>10</v>
      </c>
      <c r="J485" s="12">
        <v>10</v>
      </c>
      <c r="K485" s="15">
        <v>30</v>
      </c>
      <c r="L485" s="12">
        <v>10</v>
      </c>
      <c r="M485" s="12">
        <v>10</v>
      </c>
      <c r="N485" s="12">
        <v>10</v>
      </c>
      <c r="O485" s="12">
        <v>10</v>
      </c>
    </row>
    <row r="486" spans="1:15" ht="16" x14ac:dyDescent="0.2">
      <c r="A486" s="10" t="s">
        <v>559</v>
      </c>
      <c r="B486" s="11">
        <v>10</v>
      </c>
      <c r="C486" s="3"/>
      <c r="D486" s="12">
        <v>10</v>
      </c>
      <c r="E486" s="15">
        <v>20</v>
      </c>
      <c r="F486" s="12">
        <v>10</v>
      </c>
      <c r="G486" s="12">
        <v>10</v>
      </c>
      <c r="H486" s="12">
        <v>10</v>
      </c>
      <c r="I486" s="12">
        <v>10</v>
      </c>
      <c r="J486" s="12">
        <v>10</v>
      </c>
      <c r="K486" s="15">
        <v>20</v>
      </c>
      <c r="L486" s="15">
        <v>20</v>
      </c>
      <c r="M486" s="15">
        <v>20</v>
      </c>
      <c r="N486" s="12">
        <v>10</v>
      </c>
      <c r="O486" s="12">
        <v>10</v>
      </c>
    </row>
    <row r="487" spans="1:15" ht="16" x14ac:dyDescent="0.2">
      <c r="A487" s="10" t="s">
        <v>560</v>
      </c>
      <c r="B487" s="11">
        <v>10</v>
      </c>
      <c r="C487" s="3"/>
      <c r="D487" s="15">
        <v>10</v>
      </c>
      <c r="E487" s="15">
        <v>10</v>
      </c>
      <c r="F487" s="15">
        <v>10</v>
      </c>
      <c r="G487" s="15">
        <v>10</v>
      </c>
      <c r="H487" s="15">
        <v>10</v>
      </c>
      <c r="I487" s="12">
        <v>0</v>
      </c>
      <c r="J487" s="15">
        <v>10</v>
      </c>
      <c r="K487" s="12">
        <v>0</v>
      </c>
      <c r="L487" s="15">
        <v>10</v>
      </c>
      <c r="M487" s="15">
        <v>10</v>
      </c>
      <c r="N487" s="15">
        <v>10</v>
      </c>
      <c r="O487" s="15">
        <v>10</v>
      </c>
    </row>
    <row r="488" spans="1:15" ht="16" x14ac:dyDescent="0.2">
      <c r="A488" s="10" t="s">
        <v>561</v>
      </c>
      <c r="B488" s="11">
        <v>10</v>
      </c>
      <c r="C488" s="3"/>
      <c r="D488" s="15">
        <v>10</v>
      </c>
      <c r="E488" s="15">
        <v>10</v>
      </c>
      <c r="F488" s="12">
        <v>0</v>
      </c>
      <c r="G488" s="15">
        <v>10</v>
      </c>
      <c r="H488" s="15">
        <v>10</v>
      </c>
      <c r="I488" s="15">
        <v>10</v>
      </c>
      <c r="J488" s="15">
        <v>10</v>
      </c>
      <c r="K488" s="15">
        <v>10</v>
      </c>
      <c r="L488" s="12">
        <v>0</v>
      </c>
      <c r="M488" s="12">
        <v>0</v>
      </c>
      <c r="N488" s="15">
        <v>10</v>
      </c>
      <c r="O488" s="15">
        <v>10</v>
      </c>
    </row>
    <row r="489" spans="1:15" ht="16" x14ac:dyDescent="0.2">
      <c r="A489" s="10" t="s">
        <v>562</v>
      </c>
      <c r="B489" s="11">
        <v>10</v>
      </c>
      <c r="C489" s="3"/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5">
        <v>10</v>
      </c>
      <c r="J489" s="12">
        <v>0</v>
      </c>
      <c r="K489" s="15">
        <v>10</v>
      </c>
      <c r="L489" s="15">
        <v>10</v>
      </c>
      <c r="M489" s="15">
        <v>10</v>
      </c>
      <c r="N489" s="15">
        <v>10</v>
      </c>
      <c r="O489" s="15">
        <v>10</v>
      </c>
    </row>
    <row r="490" spans="1:15" ht="16" x14ac:dyDescent="0.2">
      <c r="A490" s="10" t="s">
        <v>563</v>
      </c>
      <c r="B490" s="11">
        <v>10</v>
      </c>
      <c r="C490" s="3"/>
      <c r="D490" s="15">
        <v>10</v>
      </c>
      <c r="E490" s="12">
        <v>0</v>
      </c>
      <c r="F490" s="15">
        <v>10</v>
      </c>
      <c r="G490" s="12">
        <v>0</v>
      </c>
      <c r="H490" s="15">
        <v>10</v>
      </c>
      <c r="I490" s="15">
        <v>10</v>
      </c>
      <c r="J490" s="12">
        <v>0</v>
      </c>
      <c r="K490" s="15">
        <v>10</v>
      </c>
      <c r="L490" s="15">
        <v>10</v>
      </c>
      <c r="M490" s="15">
        <v>10</v>
      </c>
      <c r="N490" s="15">
        <v>10</v>
      </c>
      <c r="O490" s="15">
        <v>10</v>
      </c>
    </row>
    <row r="491" spans="1:15" ht="16" x14ac:dyDescent="0.2">
      <c r="A491" s="10" t="s">
        <v>564</v>
      </c>
      <c r="B491" s="11">
        <v>10</v>
      </c>
      <c r="C491" s="3"/>
      <c r="D491" s="24">
        <v>10</v>
      </c>
      <c r="E491" s="24">
        <v>10</v>
      </c>
      <c r="F491" s="24">
        <v>10</v>
      </c>
      <c r="G491" s="24">
        <v>10</v>
      </c>
      <c r="H491" s="12">
        <v>0</v>
      </c>
      <c r="I491" s="24">
        <v>10</v>
      </c>
      <c r="J491" s="12">
        <v>0</v>
      </c>
      <c r="K491" s="24">
        <v>10</v>
      </c>
      <c r="L491" s="12">
        <v>0</v>
      </c>
      <c r="M491" s="24">
        <v>10</v>
      </c>
      <c r="N491" s="12">
        <v>0</v>
      </c>
      <c r="O491" s="12">
        <v>0</v>
      </c>
    </row>
    <row r="492" spans="1:15" ht="16" x14ac:dyDescent="0.2">
      <c r="A492" s="10" t="s">
        <v>565</v>
      </c>
      <c r="B492" s="11">
        <v>10</v>
      </c>
      <c r="C492" s="3"/>
      <c r="D492" s="24">
        <v>10</v>
      </c>
      <c r="E492" s="171">
        <v>20</v>
      </c>
      <c r="F492" s="24">
        <v>10</v>
      </c>
      <c r="G492" s="24">
        <v>10</v>
      </c>
      <c r="H492" s="24">
        <v>10</v>
      </c>
      <c r="I492" s="24">
        <v>10</v>
      </c>
      <c r="J492" s="24">
        <v>10</v>
      </c>
      <c r="K492" s="24">
        <v>10</v>
      </c>
      <c r="L492" s="24">
        <v>10</v>
      </c>
      <c r="M492" s="24">
        <v>10</v>
      </c>
      <c r="N492" s="24">
        <v>10</v>
      </c>
      <c r="O492" s="24">
        <v>10</v>
      </c>
    </row>
    <row r="493" spans="1:15" ht="16" x14ac:dyDescent="0.2">
      <c r="A493" s="10" t="s">
        <v>566</v>
      </c>
      <c r="B493" s="11">
        <v>10</v>
      </c>
      <c r="C493" s="3"/>
      <c r="D493" s="24">
        <v>10</v>
      </c>
      <c r="E493" s="24">
        <v>10</v>
      </c>
      <c r="F493" s="24">
        <v>10</v>
      </c>
      <c r="G493" s="24">
        <v>10</v>
      </c>
      <c r="H493" s="24">
        <v>10</v>
      </c>
      <c r="I493" s="24">
        <v>10</v>
      </c>
      <c r="J493" s="24">
        <v>10</v>
      </c>
      <c r="K493" s="24">
        <v>10</v>
      </c>
      <c r="L493" s="24">
        <v>10</v>
      </c>
      <c r="M493" s="24">
        <v>10</v>
      </c>
      <c r="N493" s="24">
        <v>10</v>
      </c>
      <c r="O493" s="24">
        <v>10</v>
      </c>
    </row>
    <row r="494" spans="1:15" ht="16" x14ac:dyDescent="0.2">
      <c r="A494" s="10" t="s">
        <v>567</v>
      </c>
      <c r="B494" s="11">
        <v>0</v>
      </c>
      <c r="C494" s="3"/>
      <c r="D494" s="15">
        <v>0</v>
      </c>
      <c r="E494" s="15">
        <v>0</v>
      </c>
      <c r="F494" s="15">
        <v>0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</row>
    <row r="495" spans="1:15" ht="16" x14ac:dyDescent="0.2">
      <c r="A495" s="10" t="s">
        <v>572</v>
      </c>
      <c r="B495" s="3"/>
      <c r="C495" s="3" t="e">
        <f t="shared" ref="C495:C496" ca="1" si="0">SPARKLINE(D495:O495)</f>
        <v>#NAME?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6" x14ac:dyDescent="0.2">
      <c r="A496" s="10" t="s">
        <v>573</v>
      </c>
      <c r="B496" s="3"/>
      <c r="C496" s="3" t="e">
        <f t="shared" ca="1" si="0"/>
        <v>#NAME?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6" x14ac:dyDescent="0.2">
      <c r="A497" s="10" t="s">
        <v>574</v>
      </c>
      <c r="B497" s="123">
        <v>60</v>
      </c>
      <c r="C497" s="3"/>
      <c r="D497" s="123">
        <v>60</v>
      </c>
      <c r="E497" s="123">
        <v>50</v>
      </c>
      <c r="F497" s="123">
        <v>60</v>
      </c>
      <c r="G497" s="123">
        <v>60</v>
      </c>
      <c r="H497" s="123">
        <v>60</v>
      </c>
      <c r="I497" s="123">
        <v>60</v>
      </c>
      <c r="J497" s="123">
        <v>60</v>
      </c>
      <c r="K497" s="123">
        <v>60</v>
      </c>
      <c r="L497" s="123">
        <v>60</v>
      </c>
      <c r="M497" s="123">
        <v>60</v>
      </c>
      <c r="N497" s="123">
        <v>40</v>
      </c>
      <c r="O497" s="123">
        <v>60</v>
      </c>
    </row>
    <row r="498" spans="1:15" ht="15" x14ac:dyDescent="0.2">
      <c r="A498" s="1" t="s">
        <v>589</v>
      </c>
      <c r="B498" s="1" t="s">
        <v>590</v>
      </c>
    </row>
    <row r="499" spans="1:15" ht="15" x14ac:dyDescent="0.2">
      <c r="A499" s="1" t="s">
        <v>591</v>
      </c>
      <c r="B499" s="1" t="s">
        <v>590</v>
      </c>
    </row>
    <row r="500" spans="1:15" ht="15" x14ac:dyDescent="0.2">
      <c r="A500" s="1" t="s">
        <v>124</v>
      </c>
      <c r="B500" s="1" t="s">
        <v>592</v>
      </c>
    </row>
    <row r="501" spans="1:15" ht="15" x14ac:dyDescent="0.2">
      <c r="A501" s="1" t="s">
        <v>78</v>
      </c>
      <c r="B501" s="1" t="s">
        <v>593</v>
      </c>
    </row>
    <row r="502" spans="1:15" ht="15" x14ac:dyDescent="0.2">
      <c r="A502" s="1" t="s">
        <v>15</v>
      </c>
      <c r="B502" s="1" t="s">
        <v>594</v>
      </c>
    </row>
    <row r="503" spans="1:15" ht="15" x14ac:dyDescent="0.2">
      <c r="A503" s="1" t="s">
        <v>111</v>
      </c>
      <c r="B503" s="1" t="s">
        <v>595</v>
      </c>
    </row>
    <row r="504" spans="1:15" ht="15" x14ac:dyDescent="0.2">
      <c r="A504" s="1" t="s">
        <v>80</v>
      </c>
      <c r="B504" s="1" t="s">
        <v>593</v>
      </c>
    </row>
    <row r="505" spans="1:15" ht="15" x14ac:dyDescent="0.2">
      <c r="A505" s="1" t="s">
        <v>596</v>
      </c>
      <c r="B505" s="1" t="s">
        <v>590</v>
      </c>
    </row>
    <row r="506" spans="1:15" ht="15" x14ac:dyDescent="0.2">
      <c r="A506" s="1" t="s">
        <v>49</v>
      </c>
      <c r="B506" s="1" t="s">
        <v>597</v>
      </c>
    </row>
    <row r="507" spans="1:15" ht="15" x14ac:dyDescent="0.2">
      <c r="A507" s="1" t="s">
        <v>598</v>
      </c>
      <c r="B507" s="1" t="s">
        <v>597</v>
      </c>
    </row>
    <row r="508" spans="1:15" ht="15" x14ac:dyDescent="0.2">
      <c r="A508" s="1" t="s">
        <v>599</v>
      </c>
      <c r="B508" s="1" t="s">
        <v>590</v>
      </c>
    </row>
    <row r="509" spans="1:15" ht="15" x14ac:dyDescent="0.2">
      <c r="A509" s="1" t="s">
        <v>600</v>
      </c>
      <c r="B509" s="1" t="s">
        <v>590</v>
      </c>
    </row>
    <row r="510" spans="1:15" ht="15" x14ac:dyDescent="0.2">
      <c r="A510" s="1" t="s">
        <v>601</v>
      </c>
      <c r="B510" s="1" t="s">
        <v>590</v>
      </c>
    </row>
    <row r="511" spans="1:15" ht="15" x14ac:dyDescent="0.2">
      <c r="A511" s="1" t="s">
        <v>35</v>
      </c>
      <c r="B511" s="1" t="s">
        <v>602</v>
      </c>
    </row>
    <row r="512" spans="1:15" ht="15" x14ac:dyDescent="0.2">
      <c r="A512" s="1" t="s">
        <v>314</v>
      </c>
      <c r="B512" s="1" t="s">
        <v>603</v>
      </c>
    </row>
    <row r="513" spans="1:2" ht="15" x14ac:dyDescent="0.2">
      <c r="A513" s="1" t="s">
        <v>604</v>
      </c>
      <c r="B513" s="1" t="s">
        <v>605</v>
      </c>
    </row>
    <row r="514" spans="1:2" ht="15" x14ac:dyDescent="0.2">
      <c r="A514" s="1" t="s">
        <v>278</v>
      </c>
      <c r="B514" s="1" t="s">
        <v>605</v>
      </c>
    </row>
    <row r="515" spans="1:2" ht="15" x14ac:dyDescent="0.2">
      <c r="A515" s="1" t="s">
        <v>606</v>
      </c>
      <c r="B515" s="1" t="s">
        <v>590</v>
      </c>
    </row>
    <row r="516" spans="1:2" ht="15" x14ac:dyDescent="0.2">
      <c r="A516" s="1" t="s">
        <v>607</v>
      </c>
      <c r="B516" s="1" t="s">
        <v>590</v>
      </c>
    </row>
    <row r="517" spans="1:2" ht="15" x14ac:dyDescent="0.2">
      <c r="A517" s="1" t="s">
        <v>251</v>
      </c>
      <c r="B517" s="1" t="s">
        <v>605</v>
      </c>
    </row>
    <row r="518" spans="1:2" ht="15" x14ac:dyDescent="0.2">
      <c r="A518" s="1" t="s">
        <v>223</v>
      </c>
      <c r="B518" s="1" t="s">
        <v>608</v>
      </c>
    </row>
    <row r="519" spans="1:2" ht="15" x14ac:dyDescent="0.2">
      <c r="A519" s="1" t="s">
        <v>72</v>
      </c>
      <c r="B519" s="1" t="s">
        <v>609</v>
      </c>
    </row>
    <row r="520" spans="1:2" ht="15" x14ac:dyDescent="0.2">
      <c r="A520" s="1" t="s">
        <v>610</v>
      </c>
      <c r="B520" s="1" t="s">
        <v>603</v>
      </c>
    </row>
    <row r="521" spans="1:2" ht="15" x14ac:dyDescent="0.2">
      <c r="A521" s="1" t="s">
        <v>611</v>
      </c>
      <c r="B521" s="1" t="s">
        <v>612</v>
      </c>
    </row>
    <row r="522" spans="1:2" ht="15" x14ac:dyDescent="0.2">
      <c r="A522" s="1" t="s">
        <v>224</v>
      </c>
      <c r="B522" s="1" t="s">
        <v>608</v>
      </c>
    </row>
    <row r="542" spans="1:1" ht="13" x14ac:dyDescent="0.15">
      <c r="A542" s="183" t="s">
        <v>613</v>
      </c>
    </row>
    <row r="543" spans="1:1" ht="13" x14ac:dyDescent="0.15">
      <c r="A543" s="183" t="s">
        <v>614</v>
      </c>
    </row>
    <row r="544" spans="1:1" ht="13" x14ac:dyDescent="0.15">
      <c r="A544" s="183" t="s">
        <v>615</v>
      </c>
    </row>
    <row r="545" spans="1:1" ht="13" x14ac:dyDescent="0.15">
      <c r="A545" s="183" t="s">
        <v>616</v>
      </c>
    </row>
    <row r="546" spans="1:1" ht="13" x14ac:dyDescent="0.15">
      <c r="A546" s="183" t="s">
        <v>617</v>
      </c>
    </row>
    <row r="547" spans="1:1" ht="13" x14ac:dyDescent="0.15">
      <c r="A547" s="183" t="s">
        <v>618</v>
      </c>
    </row>
    <row r="548" spans="1:1" ht="13" x14ac:dyDescent="0.15">
      <c r="A548" s="183" t="s">
        <v>619</v>
      </c>
    </row>
    <row r="549" spans="1:1" ht="13" x14ac:dyDescent="0.15">
      <c r="A549" s="183" t="s">
        <v>620</v>
      </c>
    </row>
    <row r="550" spans="1:1" ht="13" x14ac:dyDescent="0.15">
      <c r="A550" s="183" t="s">
        <v>621</v>
      </c>
    </row>
    <row r="551" spans="1:1" ht="13" x14ac:dyDescent="0.15">
      <c r="A551" s="183" t="s">
        <v>622</v>
      </c>
    </row>
    <row r="552" spans="1:1" ht="13" x14ac:dyDescent="0.15">
      <c r="A552" s="183" t="s">
        <v>623</v>
      </c>
    </row>
    <row r="553" spans="1:1" ht="13" x14ac:dyDescent="0.15">
      <c r="A553" s="183" t="s">
        <v>624</v>
      </c>
    </row>
    <row r="554" spans="1:1" ht="13" x14ac:dyDescent="0.15">
      <c r="A554" s="183" t="s">
        <v>625</v>
      </c>
    </row>
    <row r="555" spans="1:1" ht="13" x14ac:dyDescent="0.15">
      <c r="A555" s="183" t="s">
        <v>626</v>
      </c>
    </row>
    <row r="556" spans="1:1" ht="13" x14ac:dyDescent="0.15">
      <c r="A556" s="183" t="s">
        <v>627</v>
      </c>
    </row>
    <row r="557" spans="1:1" ht="13" x14ac:dyDescent="0.15">
      <c r="A557" s="183" t="s">
        <v>628</v>
      </c>
    </row>
    <row r="558" spans="1:1" ht="13" x14ac:dyDescent="0.15">
      <c r="A558" s="183" t="s">
        <v>629</v>
      </c>
    </row>
    <row r="559" spans="1:1" ht="13" x14ac:dyDescent="0.15">
      <c r="A559" s="183" t="s">
        <v>630</v>
      </c>
    </row>
    <row r="560" spans="1:1" ht="13" x14ac:dyDescent="0.15">
      <c r="A560" s="183" t="s">
        <v>631</v>
      </c>
    </row>
  </sheetData>
  <autoFilter ref="A1:Z522" xr:uid="{00000000-0009-0000-0000-000001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D5040000}">
          <x14:colorSeries rgb="FF000000"/>
          <x14:sparklines>
            <x14:sparkline>
              <xm:f>'KW Reserarch'!D2:O2</xm:f>
              <xm:sqref>C2</xm:sqref>
            </x14:sparkline>
          </x14:sparklines>
        </x14:sparklineGroup>
        <x14:sparklineGroup displayEmptyCellsAs="gap" xr2:uid="{00000000-0003-0000-0100-0000D6040000}">
          <x14:colorSeries rgb="FF000000"/>
          <x14:sparklines>
            <x14:sparkline>
              <xm:f>'KW Reserarch'!D3:O3</xm:f>
              <xm:sqref>C3</xm:sqref>
            </x14:sparkline>
          </x14:sparklines>
        </x14:sparklineGroup>
        <x14:sparklineGroup displayEmptyCellsAs="gap" xr2:uid="{00000000-0003-0000-0100-0000D7040000}">
          <x14:colorSeries rgb="FF000000"/>
          <x14:sparklines>
            <x14:sparkline>
              <xm:f>'KW Reserarch'!D4:O4</xm:f>
              <xm:sqref>C4</xm:sqref>
            </x14:sparkline>
          </x14:sparklines>
        </x14:sparklineGroup>
        <x14:sparklineGroup displayEmptyCellsAs="gap" xr2:uid="{00000000-0003-0000-0100-0000D8040000}">
          <x14:colorSeries rgb="FF000000"/>
          <x14:sparklines>
            <x14:sparkline>
              <xm:f>'KW Reserarch'!D5:O5</xm:f>
              <xm:sqref>C5</xm:sqref>
            </x14:sparkline>
          </x14:sparklines>
        </x14:sparklineGroup>
        <x14:sparklineGroup displayEmptyCellsAs="gap" xr2:uid="{00000000-0003-0000-0100-0000D9040000}">
          <x14:colorSeries rgb="FF000000"/>
          <x14:sparklines>
            <x14:sparkline>
              <xm:f>'KW Reserarch'!D6:O6</xm:f>
              <xm:sqref>C6</xm:sqref>
            </x14:sparkline>
          </x14:sparklines>
        </x14:sparklineGroup>
        <x14:sparklineGroup displayEmptyCellsAs="gap" xr2:uid="{00000000-0003-0000-0100-0000DA040000}">
          <x14:colorSeries rgb="FF000000"/>
          <x14:sparklines>
            <x14:sparkline>
              <xm:f>'KW Reserarch'!D7:O7</xm:f>
              <xm:sqref>C7</xm:sqref>
            </x14:sparkline>
          </x14:sparklines>
        </x14:sparklineGroup>
        <x14:sparklineGroup displayEmptyCellsAs="gap" xr2:uid="{00000000-0003-0000-0100-0000DB040000}">
          <x14:colorSeries rgb="FF000000"/>
          <x14:sparklines>
            <x14:sparkline>
              <xm:f>'KW Reserarch'!D8:O8</xm:f>
              <xm:sqref>C8</xm:sqref>
            </x14:sparkline>
          </x14:sparklines>
        </x14:sparklineGroup>
        <x14:sparklineGroup displayEmptyCellsAs="gap" xr2:uid="{00000000-0003-0000-0100-0000DC040000}">
          <x14:colorSeries rgb="FF000000"/>
          <x14:sparklines>
            <x14:sparkline>
              <xm:f>'KW Reserarch'!D9:O9</xm:f>
              <xm:sqref>C9</xm:sqref>
            </x14:sparkline>
          </x14:sparklines>
        </x14:sparklineGroup>
        <x14:sparklineGroup displayEmptyCellsAs="gap" xr2:uid="{00000000-0003-0000-0100-0000DD040000}">
          <x14:colorSeries rgb="FF000000"/>
          <x14:sparklines>
            <x14:sparkline>
              <xm:f>'KW Reserarch'!D10:O10</xm:f>
              <xm:sqref>C10</xm:sqref>
            </x14:sparkline>
          </x14:sparklines>
        </x14:sparklineGroup>
        <x14:sparklineGroup displayEmptyCellsAs="gap" xr2:uid="{00000000-0003-0000-0100-0000DE040000}">
          <x14:colorSeries rgb="FF000000"/>
          <x14:sparklines>
            <x14:sparkline>
              <xm:f>'KW Reserarch'!D11:O11</xm:f>
              <xm:sqref>C11</xm:sqref>
            </x14:sparkline>
          </x14:sparklines>
        </x14:sparklineGroup>
        <x14:sparklineGroup displayEmptyCellsAs="gap" xr2:uid="{00000000-0003-0000-0100-0000DF040000}">
          <x14:colorSeries rgb="FF000000"/>
          <x14:sparklines>
            <x14:sparkline>
              <xm:f>'KW Reserarch'!D12:O12</xm:f>
              <xm:sqref>C12</xm:sqref>
            </x14:sparkline>
          </x14:sparklines>
        </x14:sparklineGroup>
        <x14:sparklineGroup displayEmptyCellsAs="gap" xr2:uid="{00000000-0003-0000-0100-0000E0040000}">
          <x14:colorSeries rgb="FF000000"/>
          <x14:sparklines>
            <x14:sparkline>
              <xm:f>'KW Reserarch'!D13:O13</xm:f>
              <xm:sqref>C13</xm:sqref>
            </x14:sparkline>
          </x14:sparklines>
        </x14:sparklineGroup>
        <x14:sparklineGroup displayEmptyCellsAs="gap" xr2:uid="{00000000-0003-0000-0100-0000E1040000}">
          <x14:colorSeries rgb="FF000000"/>
          <x14:sparklines>
            <x14:sparkline>
              <xm:f>'KW Reserarch'!D14:O14</xm:f>
              <xm:sqref>C14</xm:sqref>
            </x14:sparkline>
          </x14:sparklines>
        </x14:sparklineGroup>
        <x14:sparklineGroup displayEmptyCellsAs="gap" xr2:uid="{00000000-0003-0000-0100-0000E2040000}">
          <x14:colorSeries rgb="FF000000"/>
          <x14:sparklines>
            <x14:sparkline>
              <xm:f>'KW Reserarch'!D15:O15</xm:f>
              <xm:sqref>C15</xm:sqref>
            </x14:sparkline>
          </x14:sparklines>
        </x14:sparklineGroup>
        <x14:sparklineGroup displayEmptyCellsAs="gap" xr2:uid="{00000000-0003-0000-0100-0000E3040000}">
          <x14:colorSeries rgb="FF000000"/>
          <x14:sparklines>
            <x14:sparkline>
              <xm:f>'KW Reserarch'!D16:O16</xm:f>
              <xm:sqref>C16</xm:sqref>
            </x14:sparkline>
          </x14:sparklines>
        </x14:sparklineGroup>
        <x14:sparklineGroup displayEmptyCellsAs="gap" xr2:uid="{00000000-0003-0000-0100-0000E4040000}">
          <x14:colorSeries rgb="FF000000"/>
          <x14:sparklines>
            <x14:sparkline>
              <xm:f>'KW Reserarch'!D17:O17</xm:f>
              <xm:sqref>C17</xm:sqref>
            </x14:sparkline>
          </x14:sparklines>
        </x14:sparklineGroup>
        <x14:sparklineGroup displayEmptyCellsAs="gap" xr2:uid="{00000000-0003-0000-0100-0000E5040000}">
          <x14:colorSeries rgb="FF000000"/>
          <x14:sparklines>
            <x14:sparkline>
              <xm:f>'KW Reserarch'!D18:O18</xm:f>
              <xm:sqref>C18</xm:sqref>
            </x14:sparkline>
          </x14:sparklines>
        </x14:sparklineGroup>
        <x14:sparklineGroup displayEmptyCellsAs="gap" xr2:uid="{00000000-0003-0000-0100-0000E6040000}">
          <x14:colorSeries rgb="FF000000"/>
          <x14:sparklines>
            <x14:sparkline>
              <xm:f>'KW Reserarch'!D19:O19</xm:f>
              <xm:sqref>C19</xm:sqref>
            </x14:sparkline>
          </x14:sparklines>
        </x14:sparklineGroup>
        <x14:sparklineGroup displayEmptyCellsAs="gap" xr2:uid="{00000000-0003-0000-0100-0000E7040000}">
          <x14:colorSeries rgb="FF000000"/>
          <x14:sparklines>
            <x14:sparkline>
              <xm:f>'KW Reserarch'!D20:O20</xm:f>
              <xm:sqref>C20</xm:sqref>
            </x14:sparkline>
          </x14:sparklines>
        </x14:sparklineGroup>
        <x14:sparklineGroup displayEmptyCellsAs="gap" xr2:uid="{00000000-0003-0000-0100-0000E8040000}">
          <x14:colorSeries rgb="FF000000"/>
          <x14:sparklines>
            <x14:sparkline>
              <xm:f>'KW Reserarch'!D21:O21</xm:f>
              <xm:sqref>C21</xm:sqref>
            </x14:sparkline>
          </x14:sparklines>
        </x14:sparklineGroup>
        <x14:sparklineGroup displayEmptyCellsAs="gap" xr2:uid="{00000000-0003-0000-0100-0000E9040000}">
          <x14:colorSeries rgb="FF000000"/>
          <x14:sparklines>
            <x14:sparkline>
              <xm:f>'KW Reserarch'!D22:O22</xm:f>
              <xm:sqref>C22</xm:sqref>
            </x14:sparkline>
          </x14:sparklines>
        </x14:sparklineGroup>
        <x14:sparklineGroup displayEmptyCellsAs="gap" xr2:uid="{00000000-0003-0000-0100-0000EA040000}">
          <x14:colorSeries rgb="FF000000"/>
          <x14:sparklines>
            <x14:sparkline>
              <xm:f>'KW Reserarch'!D23:O23</xm:f>
              <xm:sqref>C23</xm:sqref>
            </x14:sparkline>
          </x14:sparklines>
        </x14:sparklineGroup>
        <x14:sparklineGroup displayEmptyCellsAs="gap" xr2:uid="{00000000-0003-0000-0100-0000EB040000}">
          <x14:colorSeries rgb="FF000000"/>
          <x14:sparklines>
            <x14:sparkline>
              <xm:f>'KW Reserarch'!D24:O24</xm:f>
              <xm:sqref>C24</xm:sqref>
            </x14:sparkline>
          </x14:sparklines>
        </x14:sparklineGroup>
        <x14:sparklineGroup displayEmptyCellsAs="gap" xr2:uid="{00000000-0003-0000-0100-0000EC040000}">
          <x14:colorSeries rgb="FF000000"/>
          <x14:sparklines>
            <x14:sparkline>
              <xm:f>'KW Reserarch'!D25:O25</xm:f>
              <xm:sqref>C25</xm:sqref>
            </x14:sparkline>
          </x14:sparklines>
        </x14:sparklineGroup>
        <x14:sparklineGroup displayEmptyCellsAs="gap" xr2:uid="{00000000-0003-0000-0100-0000ED040000}">
          <x14:colorSeries rgb="FF000000"/>
          <x14:sparklines>
            <x14:sparkline>
              <xm:f>'KW Reserarch'!D26:O26</xm:f>
              <xm:sqref>C26</xm:sqref>
            </x14:sparkline>
          </x14:sparklines>
        </x14:sparklineGroup>
        <x14:sparklineGroup displayEmptyCellsAs="gap" xr2:uid="{00000000-0003-0000-0100-0000EE040000}">
          <x14:colorSeries rgb="FF000000"/>
          <x14:sparklines>
            <x14:sparkline>
              <xm:f>'KW Reserarch'!D27:O27</xm:f>
              <xm:sqref>C27</xm:sqref>
            </x14:sparkline>
          </x14:sparklines>
        </x14:sparklineGroup>
        <x14:sparklineGroup displayEmptyCellsAs="gap" xr2:uid="{00000000-0003-0000-0100-0000EF040000}">
          <x14:colorSeries rgb="FF000000"/>
          <x14:sparklines>
            <x14:sparkline>
              <xm:f>'KW Reserarch'!D28:O28</xm:f>
              <xm:sqref>C28</xm:sqref>
            </x14:sparkline>
          </x14:sparklines>
        </x14:sparklineGroup>
        <x14:sparklineGroup displayEmptyCellsAs="gap" xr2:uid="{00000000-0003-0000-0100-0000F0040000}">
          <x14:colorSeries rgb="FF000000"/>
          <x14:sparklines>
            <x14:sparkline>
              <xm:f>'KW Reserarch'!D29:O29</xm:f>
              <xm:sqref>C29</xm:sqref>
            </x14:sparkline>
          </x14:sparklines>
        </x14:sparklineGroup>
        <x14:sparklineGroup displayEmptyCellsAs="gap" xr2:uid="{00000000-0003-0000-0100-0000F1040000}">
          <x14:colorSeries rgb="FF000000"/>
          <x14:sparklines>
            <x14:sparkline>
              <xm:f>'KW Reserarch'!D30:O30</xm:f>
              <xm:sqref>C30</xm:sqref>
            </x14:sparkline>
          </x14:sparklines>
        </x14:sparklineGroup>
        <x14:sparklineGroup displayEmptyCellsAs="gap" xr2:uid="{00000000-0003-0000-0100-0000F2040000}">
          <x14:colorSeries rgb="FF000000"/>
          <x14:sparklines>
            <x14:sparkline>
              <xm:f>'KW Reserarch'!D31:O31</xm:f>
              <xm:sqref>C31</xm:sqref>
            </x14:sparkline>
          </x14:sparklines>
        </x14:sparklineGroup>
        <x14:sparklineGroup displayEmptyCellsAs="gap" xr2:uid="{00000000-0003-0000-0100-0000F3040000}">
          <x14:colorSeries rgb="FF000000"/>
          <x14:sparklines>
            <x14:sparkline>
              <xm:f>'KW Reserarch'!D32:O32</xm:f>
              <xm:sqref>C32</xm:sqref>
            </x14:sparkline>
          </x14:sparklines>
        </x14:sparklineGroup>
        <x14:sparklineGroup displayEmptyCellsAs="gap" xr2:uid="{00000000-0003-0000-0100-0000F4040000}">
          <x14:colorSeries rgb="FF000000"/>
          <x14:sparklines>
            <x14:sparkline>
              <xm:f>'KW Reserarch'!D33:O33</xm:f>
              <xm:sqref>C33</xm:sqref>
            </x14:sparkline>
          </x14:sparklines>
        </x14:sparklineGroup>
        <x14:sparklineGroup displayEmptyCellsAs="gap" xr2:uid="{00000000-0003-0000-0100-0000F5040000}">
          <x14:colorSeries rgb="FF000000"/>
          <x14:sparklines>
            <x14:sparkline>
              <xm:f>'KW Reserarch'!D34:O34</xm:f>
              <xm:sqref>C34</xm:sqref>
            </x14:sparkline>
          </x14:sparklines>
        </x14:sparklineGroup>
        <x14:sparklineGroup displayEmptyCellsAs="gap" xr2:uid="{00000000-0003-0000-0100-0000F6040000}">
          <x14:colorSeries rgb="FF000000"/>
          <x14:sparklines>
            <x14:sparkline>
              <xm:f>'KW Reserarch'!D35:O35</xm:f>
              <xm:sqref>C35</xm:sqref>
            </x14:sparkline>
          </x14:sparklines>
        </x14:sparklineGroup>
        <x14:sparklineGroup displayEmptyCellsAs="gap" xr2:uid="{00000000-0003-0000-0100-0000F7040000}">
          <x14:colorSeries rgb="FF000000"/>
          <x14:sparklines>
            <x14:sparkline>
              <xm:f>'KW Reserarch'!D36:O36</xm:f>
              <xm:sqref>C36</xm:sqref>
            </x14:sparkline>
          </x14:sparklines>
        </x14:sparklineGroup>
        <x14:sparklineGroup displayEmptyCellsAs="gap" xr2:uid="{00000000-0003-0000-0100-0000F8040000}">
          <x14:colorSeries rgb="FF000000"/>
          <x14:sparklines>
            <x14:sparkline>
              <xm:f>'KW Reserarch'!D37:O37</xm:f>
              <xm:sqref>C37</xm:sqref>
            </x14:sparkline>
          </x14:sparklines>
        </x14:sparklineGroup>
        <x14:sparklineGroup displayEmptyCellsAs="gap" xr2:uid="{00000000-0003-0000-0100-0000F9040000}">
          <x14:colorSeries rgb="FF000000"/>
          <x14:sparklines>
            <x14:sparkline>
              <xm:f>'KW Reserarch'!D38:O38</xm:f>
              <xm:sqref>C38</xm:sqref>
            </x14:sparkline>
          </x14:sparklines>
        </x14:sparklineGroup>
        <x14:sparklineGroup displayEmptyCellsAs="gap" xr2:uid="{00000000-0003-0000-0100-0000FA040000}">
          <x14:colorSeries rgb="FF000000"/>
          <x14:sparklines>
            <x14:sparkline>
              <xm:f>'KW Reserarch'!D39:O39</xm:f>
              <xm:sqref>C39</xm:sqref>
            </x14:sparkline>
          </x14:sparklines>
        </x14:sparklineGroup>
        <x14:sparklineGroup displayEmptyCellsAs="gap" xr2:uid="{00000000-0003-0000-0100-0000FB040000}">
          <x14:colorSeries rgb="FF000000"/>
          <x14:sparklines>
            <x14:sparkline>
              <xm:f>'KW Reserarch'!D40:O40</xm:f>
              <xm:sqref>C40</xm:sqref>
            </x14:sparkline>
          </x14:sparklines>
        </x14:sparklineGroup>
        <x14:sparklineGroup displayEmptyCellsAs="gap" xr2:uid="{00000000-0003-0000-0100-0000FC040000}">
          <x14:colorSeries rgb="FF000000"/>
          <x14:sparklines>
            <x14:sparkline>
              <xm:f>'KW Reserarch'!D41:O41</xm:f>
              <xm:sqref>C41</xm:sqref>
            </x14:sparkline>
          </x14:sparklines>
        </x14:sparklineGroup>
        <x14:sparklineGroup displayEmptyCellsAs="gap" xr2:uid="{00000000-0003-0000-0100-0000FD040000}">
          <x14:colorSeries rgb="FF000000"/>
          <x14:sparklines>
            <x14:sparkline>
              <xm:f>'KW Reserarch'!D42:O42</xm:f>
              <xm:sqref>C42</xm:sqref>
            </x14:sparkline>
          </x14:sparklines>
        </x14:sparklineGroup>
        <x14:sparklineGroup displayEmptyCellsAs="gap" xr2:uid="{00000000-0003-0000-0100-0000FE040000}">
          <x14:colorSeries rgb="FF000000"/>
          <x14:sparklines>
            <x14:sparkline>
              <xm:f>'KW Reserarch'!D43:O43</xm:f>
              <xm:sqref>C43</xm:sqref>
            </x14:sparkline>
          </x14:sparklines>
        </x14:sparklineGroup>
        <x14:sparklineGroup displayEmptyCellsAs="gap" xr2:uid="{00000000-0003-0000-0100-0000FF040000}">
          <x14:colorSeries rgb="FF000000"/>
          <x14:sparklines>
            <x14:sparkline>
              <xm:f>'KW Reserarch'!D44:O44</xm:f>
              <xm:sqref>C44</xm:sqref>
            </x14:sparkline>
          </x14:sparklines>
        </x14:sparklineGroup>
        <x14:sparklineGroup displayEmptyCellsAs="gap" xr2:uid="{00000000-0003-0000-0100-000000050000}">
          <x14:colorSeries rgb="FF000000"/>
          <x14:sparklines>
            <x14:sparkline>
              <xm:f>'KW Reserarch'!D45:O45</xm:f>
              <xm:sqref>C45</xm:sqref>
            </x14:sparkline>
          </x14:sparklines>
        </x14:sparklineGroup>
        <x14:sparklineGroup displayEmptyCellsAs="gap" xr2:uid="{00000000-0003-0000-0100-000001050000}">
          <x14:colorSeries rgb="FF000000"/>
          <x14:sparklines>
            <x14:sparkline>
              <xm:f>'KW Reserarch'!D46:O46</xm:f>
              <xm:sqref>C46</xm:sqref>
            </x14:sparkline>
          </x14:sparklines>
        </x14:sparklineGroup>
        <x14:sparklineGroup displayEmptyCellsAs="gap" xr2:uid="{00000000-0003-0000-0100-000002050000}">
          <x14:colorSeries rgb="FF000000"/>
          <x14:sparklines>
            <x14:sparkline>
              <xm:f>'KW Reserarch'!D47:O47</xm:f>
              <xm:sqref>C47</xm:sqref>
            </x14:sparkline>
          </x14:sparklines>
        </x14:sparklineGroup>
        <x14:sparklineGroup displayEmptyCellsAs="gap" xr2:uid="{00000000-0003-0000-0100-000003050000}">
          <x14:colorSeries rgb="FF000000"/>
          <x14:sparklines>
            <x14:sparkline>
              <xm:f>'KW Reserarch'!D48:O48</xm:f>
              <xm:sqref>C48</xm:sqref>
            </x14:sparkline>
          </x14:sparklines>
        </x14:sparklineGroup>
        <x14:sparklineGroup displayEmptyCellsAs="gap" xr2:uid="{00000000-0003-0000-0100-000004050000}">
          <x14:colorSeries rgb="FF000000"/>
          <x14:sparklines>
            <x14:sparkline>
              <xm:f>'KW Reserarch'!D49:O49</xm:f>
              <xm:sqref>C49</xm:sqref>
            </x14:sparkline>
          </x14:sparklines>
        </x14:sparklineGroup>
        <x14:sparklineGroup displayEmptyCellsAs="gap" xr2:uid="{00000000-0003-0000-0100-000005050000}">
          <x14:colorSeries rgb="FF000000"/>
          <x14:sparklines>
            <x14:sparkline>
              <xm:f>'KW Reserarch'!D50:O50</xm:f>
              <xm:sqref>C50</xm:sqref>
            </x14:sparkline>
          </x14:sparklines>
        </x14:sparklineGroup>
        <x14:sparklineGroup displayEmptyCellsAs="gap" xr2:uid="{00000000-0003-0000-0100-000006050000}">
          <x14:colorSeries rgb="FF000000"/>
          <x14:sparklines>
            <x14:sparkline>
              <xm:f>'KW Reserarch'!D51:O51</xm:f>
              <xm:sqref>C51</xm:sqref>
            </x14:sparkline>
          </x14:sparklines>
        </x14:sparklineGroup>
        <x14:sparklineGroup displayEmptyCellsAs="gap" xr2:uid="{00000000-0003-0000-0100-000007050000}">
          <x14:colorSeries rgb="FF000000"/>
          <x14:sparklines>
            <x14:sparkline>
              <xm:f>'KW Reserarch'!D52:O52</xm:f>
              <xm:sqref>C52</xm:sqref>
            </x14:sparkline>
          </x14:sparklines>
        </x14:sparklineGroup>
        <x14:sparklineGroup displayEmptyCellsAs="gap" xr2:uid="{00000000-0003-0000-0100-000008050000}">
          <x14:colorSeries rgb="FF000000"/>
          <x14:sparklines>
            <x14:sparkline>
              <xm:f>'KW Reserarch'!D53:O53</xm:f>
              <xm:sqref>C53</xm:sqref>
            </x14:sparkline>
          </x14:sparklines>
        </x14:sparklineGroup>
        <x14:sparklineGroup displayEmptyCellsAs="gap" xr2:uid="{00000000-0003-0000-0100-000009050000}">
          <x14:colorSeries rgb="FF000000"/>
          <x14:sparklines>
            <x14:sparkline>
              <xm:f>'KW Reserarch'!D54:O54</xm:f>
              <xm:sqref>C54</xm:sqref>
            </x14:sparkline>
          </x14:sparklines>
        </x14:sparklineGroup>
        <x14:sparklineGroup displayEmptyCellsAs="gap" xr2:uid="{00000000-0003-0000-0100-00000A050000}">
          <x14:colorSeries rgb="FF000000"/>
          <x14:sparklines>
            <x14:sparkline>
              <xm:f>'KW Reserarch'!D55:O55</xm:f>
              <xm:sqref>C55</xm:sqref>
            </x14:sparkline>
          </x14:sparklines>
        </x14:sparklineGroup>
        <x14:sparklineGroup displayEmptyCellsAs="gap" xr2:uid="{00000000-0003-0000-0100-00000B050000}">
          <x14:colorSeries rgb="FF000000"/>
          <x14:sparklines>
            <x14:sparkline>
              <xm:f>'KW Reserarch'!D56:O56</xm:f>
              <xm:sqref>C56</xm:sqref>
            </x14:sparkline>
          </x14:sparklines>
        </x14:sparklineGroup>
        <x14:sparklineGroup displayEmptyCellsAs="gap" xr2:uid="{00000000-0003-0000-0100-00000C050000}">
          <x14:colorSeries rgb="FF000000"/>
          <x14:sparklines>
            <x14:sparkline>
              <xm:f>'KW Reserarch'!D57:O57</xm:f>
              <xm:sqref>C57</xm:sqref>
            </x14:sparkline>
          </x14:sparklines>
        </x14:sparklineGroup>
        <x14:sparklineGroup displayEmptyCellsAs="gap" xr2:uid="{00000000-0003-0000-0100-00000D050000}">
          <x14:colorSeries rgb="FF000000"/>
          <x14:sparklines>
            <x14:sparkline>
              <xm:f>'KW Reserarch'!D58:O58</xm:f>
              <xm:sqref>C58</xm:sqref>
            </x14:sparkline>
          </x14:sparklines>
        </x14:sparklineGroup>
        <x14:sparklineGroup displayEmptyCellsAs="gap" xr2:uid="{00000000-0003-0000-0100-00000E050000}">
          <x14:colorSeries rgb="FF000000"/>
          <x14:sparklines>
            <x14:sparkline>
              <xm:f>'KW Reserarch'!D59:O59</xm:f>
              <xm:sqref>C59</xm:sqref>
            </x14:sparkline>
          </x14:sparklines>
        </x14:sparklineGroup>
        <x14:sparklineGroup displayEmptyCellsAs="gap" xr2:uid="{00000000-0003-0000-0100-00000F050000}">
          <x14:colorSeries rgb="FF000000"/>
          <x14:sparklines>
            <x14:sparkline>
              <xm:f>'KW Reserarch'!D60:O60</xm:f>
              <xm:sqref>C60</xm:sqref>
            </x14:sparkline>
          </x14:sparklines>
        </x14:sparklineGroup>
        <x14:sparklineGroup displayEmptyCellsAs="gap" xr2:uid="{00000000-0003-0000-0100-000010050000}">
          <x14:colorSeries rgb="FF000000"/>
          <x14:sparklines>
            <x14:sparkline>
              <xm:f>'KW Reserarch'!D61:O61</xm:f>
              <xm:sqref>C61</xm:sqref>
            </x14:sparkline>
          </x14:sparklines>
        </x14:sparklineGroup>
        <x14:sparklineGroup displayEmptyCellsAs="gap" xr2:uid="{00000000-0003-0000-0100-000011050000}">
          <x14:colorSeries rgb="FF000000"/>
          <x14:sparklines>
            <x14:sparkline>
              <xm:f>'KW Reserarch'!D62:O62</xm:f>
              <xm:sqref>C62</xm:sqref>
            </x14:sparkline>
          </x14:sparklines>
        </x14:sparklineGroup>
        <x14:sparklineGroup displayEmptyCellsAs="gap" xr2:uid="{00000000-0003-0000-0100-000012050000}">
          <x14:colorSeries rgb="FF000000"/>
          <x14:sparklines>
            <x14:sparkline>
              <xm:f>'KW Reserarch'!D63:O63</xm:f>
              <xm:sqref>C63</xm:sqref>
            </x14:sparkline>
          </x14:sparklines>
        </x14:sparklineGroup>
        <x14:sparklineGroup displayEmptyCellsAs="gap" xr2:uid="{00000000-0003-0000-0100-000013050000}">
          <x14:colorSeries rgb="FF000000"/>
          <x14:sparklines>
            <x14:sparkline>
              <xm:f>'KW Reserarch'!D64:O64</xm:f>
              <xm:sqref>C64</xm:sqref>
            </x14:sparkline>
          </x14:sparklines>
        </x14:sparklineGroup>
        <x14:sparklineGroup displayEmptyCellsAs="gap" xr2:uid="{00000000-0003-0000-0100-000014050000}">
          <x14:colorSeries rgb="FF000000"/>
          <x14:sparklines>
            <x14:sparkline>
              <xm:f>'KW Reserarch'!D65:O65</xm:f>
              <xm:sqref>C65</xm:sqref>
            </x14:sparkline>
          </x14:sparklines>
        </x14:sparklineGroup>
        <x14:sparklineGroup displayEmptyCellsAs="gap" xr2:uid="{00000000-0003-0000-0100-000015050000}">
          <x14:colorSeries rgb="FF000000"/>
          <x14:sparklines>
            <x14:sparkline>
              <xm:f>'KW Reserarch'!D66:O66</xm:f>
              <xm:sqref>C66</xm:sqref>
            </x14:sparkline>
          </x14:sparklines>
        </x14:sparklineGroup>
        <x14:sparklineGroup displayEmptyCellsAs="gap" xr2:uid="{00000000-0003-0000-0100-000016050000}">
          <x14:colorSeries rgb="FF000000"/>
          <x14:sparklines>
            <x14:sparkline>
              <xm:f>'KW Reserarch'!D67:O67</xm:f>
              <xm:sqref>C67</xm:sqref>
            </x14:sparkline>
          </x14:sparklines>
        </x14:sparklineGroup>
        <x14:sparklineGroup displayEmptyCellsAs="gap" xr2:uid="{00000000-0003-0000-0100-000017050000}">
          <x14:colorSeries rgb="FF000000"/>
          <x14:sparklines>
            <x14:sparkline>
              <xm:f>'KW Reserarch'!D68:O68</xm:f>
              <xm:sqref>C68</xm:sqref>
            </x14:sparkline>
          </x14:sparklines>
        </x14:sparklineGroup>
        <x14:sparklineGroup displayEmptyCellsAs="gap" xr2:uid="{00000000-0003-0000-0100-000018050000}">
          <x14:colorSeries rgb="FF000000"/>
          <x14:sparklines>
            <x14:sparkline>
              <xm:f>'KW Reserarch'!D69:O69</xm:f>
              <xm:sqref>C69</xm:sqref>
            </x14:sparkline>
          </x14:sparklines>
        </x14:sparklineGroup>
        <x14:sparklineGroup displayEmptyCellsAs="gap" xr2:uid="{00000000-0003-0000-0100-000019050000}">
          <x14:colorSeries rgb="FF000000"/>
          <x14:sparklines>
            <x14:sparkline>
              <xm:f>'KW Reserarch'!D70:O70</xm:f>
              <xm:sqref>C70</xm:sqref>
            </x14:sparkline>
          </x14:sparklines>
        </x14:sparklineGroup>
        <x14:sparklineGroup displayEmptyCellsAs="gap" xr2:uid="{00000000-0003-0000-0100-00001A050000}">
          <x14:colorSeries rgb="FF000000"/>
          <x14:sparklines>
            <x14:sparkline>
              <xm:f>'KW Reserarch'!D71:O71</xm:f>
              <xm:sqref>C71</xm:sqref>
            </x14:sparkline>
          </x14:sparklines>
        </x14:sparklineGroup>
        <x14:sparklineGroup displayEmptyCellsAs="gap" xr2:uid="{00000000-0003-0000-0100-00001B050000}">
          <x14:colorSeries rgb="FF000000"/>
          <x14:sparklines>
            <x14:sparkline>
              <xm:f>'KW Reserarch'!D72:O72</xm:f>
              <xm:sqref>C72</xm:sqref>
            </x14:sparkline>
          </x14:sparklines>
        </x14:sparklineGroup>
        <x14:sparklineGroup displayEmptyCellsAs="gap" xr2:uid="{00000000-0003-0000-0100-00001C050000}">
          <x14:colorSeries rgb="FF000000"/>
          <x14:sparklines>
            <x14:sparkline>
              <xm:f>'KW Reserarch'!D73:O73</xm:f>
              <xm:sqref>C73</xm:sqref>
            </x14:sparkline>
          </x14:sparklines>
        </x14:sparklineGroup>
        <x14:sparklineGroup displayEmptyCellsAs="gap" xr2:uid="{00000000-0003-0000-0100-00001D050000}">
          <x14:colorSeries rgb="FF000000"/>
          <x14:sparklines>
            <x14:sparkline>
              <xm:f>'KW Reserarch'!D74:O74</xm:f>
              <xm:sqref>C74</xm:sqref>
            </x14:sparkline>
          </x14:sparklines>
        </x14:sparklineGroup>
        <x14:sparklineGroup displayEmptyCellsAs="gap" xr2:uid="{00000000-0003-0000-0100-00001E050000}">
          <x14:colorSeries rgb="FF000000"/>
          <x14:sparklines>
            <x14:sparkline>
              <xm:f>'KW Reserarch'!D75:O75</xm:f>
              <xm:sqref>C75</xm:sqref>
            </x14:sparkline>
          </x14:sparklines>
        </x14:sparklineGroup>
        <x14:sparklineGroup displayEmptyCellsAs="gap" xr2:uid="{00000000-0003-0000-0100-00001F050000}">
          <x14:colorSeries rgb="FF000000"/>
          <x14:sparklines>
            <x14:sparkline>
              <xm:f>'KW Reserarch'!D76:O76</xm:f>
              <xm:sqref>C76</xm:sqref>
            </x14:sparkline>
          </x14:sparklines>
        </x14:sparklineGroup>
        <x14:sparklineGroup displayEmptyCellsAs="gap" xr2:uid="{00000000-0003-0000-0100-000020050000}">
          <x14:colorSeries rgb="FF000000"/>
          <x14:sparklines>
            <x14:sparkline>
              <xm:f>'KW Reserarch'!D77:O77</xm:f>
              <xm:sqref>C77</xm:sqref>
            </x14:sparkline>
          </x14:sparklines>
        </x14:sparklineGroup>
        <x14:sparklineGroup displayEmptyCellsAs="gap" xr2:uid="{00000000-0003-0000-0100-000021050000}">
          <x14:colorSeries rgb="FF000000"/>
          <x14:sparklines>
            <x14:sparkline>
              <xm:f>'KW Reserarch'!D78:O78</xm:f>
              <xm:sqref>C78</xm:sqref>
            </x14:sparkline>
          </x14:sparklines>
        </x14:sparklineGroup>
        <x14:sparklineGroup displayEmptyCellsAs="gap" xr2:uid="{00000000-0003-0000-0100-000022050000}">
          <x14:colorSeries rgb="FF000000"/>
          <x14:sparklines>
            <x14:sparkline>
              <xm:f>'KW Reserarch'!D79:O79</xm:f>
              <xm:sqref>C79</xm:sqref>
            </x14:sparkline>
          </x14:sparklines>
        </x14:sparklineGroup>
        <x14:sparklineGroup displayEmptyCellsAs="gap" xr2:uid="{00000000-0003-0000-0100-000023050000}">
          <x14:colorSeries rgb="FF000000"/>
          <x14:sparklines>
            <x14:sparkline>
              <xm:f>'KW Reserarch'!D80:O80</xm:f>
              <xm:sqref>C80</xm:sqref>
            </x14:sparkline>
          </x14:sparklines>
        </x14:sparklineGroup>
        <x14:sparklineGroup displayEmptyCellsAs="gap" xr2:uid="{00000000-0003-0000-0100-000024050000}">
          <x14:colorSeries rgb="FF000000"/>
          <x14:sparklines>
            <x14:sparkline>
              <xm:f>'KW Reserarch'!D81:O81</xm:f>
              <xm:sqref>C81</xm:sqref>
            </x14:sparkline>
          </x14:sparklines>
        </x14:sparklineGroup>
        <x14:sparklineGroup displayEmptyCellsAs="gap" xr2:uid="{00000000-0003-0000-0100-000025050000}">
          <x14:colorSeries rgb="FF000000"/>
          <x14:sparklines>
            <x14:sparkline>
              <xm:f>'KW Reserarch'!D82:O82</xm:f>
              <xm:sqref>C82</xm:sqref>
            </x14:sparkline>
          </x14:sparklines>
        </x14:sparklineGroup>
        <x14:sparklineGroup displayEmptyCellsAs="gap" xr2:uid="{00000000-0003-0000-0100-000026050000}">
          <x14:colorSeries rgb="FF000000"/>
          <x14:sparklines>
            <x14:sparkline>
              <xm:f>'KW Reserarch'!D83:O83</xm:f>
              <xm:sqref>C83</xm:sqref>
            </x14:sparkline>
          </x14:sparklines>
        </x14:sparklineGroup>
        <x14:sparklineGroup displayEmptyCellsAs="gap" xr2:uid="{00000000-0003-0000-0100-000027050000}">
          <x14:colorSeries rgb="FF000000"/>
          <x14:sparklines>
            <x14:sparkline>
              <xm:f>'KW Reserarch'!D84:O84</xm:f>
              <xm:sqref>C84</xm:sqref>
            </x14:sparkline>
          </x14:sparklines>
        </x14:sparklineGroup>
        <x14:sparklineGroup displayEmptyCellsAs="gap" xr2:uid="{00000000-0003-0000-0100-000028050000}">
          <x14:colorSeries rgb="FF000000"/>
          <x14:sparklines>
            <x14:sparkline>
              <xm:f>'KW Reserarch'!D85:O85</xm:f>
              <xm:sqref>C85</xm:sqref>
            </x14:sparkline>
          </x14:sparklines>
        </x14:sparklineGroup>
        <x14:sparklineGroup displayEmptyCellsAs="gap" xr2:uid="{00000000-0003-0000-0100-000029050000}">
          <x14:colorSeries rgb="FF000000"/>
          <x14:sparklines>
            <x14:sparkline>
              <xm:f>'KW Reserarch'!D86:O86</xm:f>
              <xm:sqref>C86</xm:sqref>
            </x14:sparkline>
          </x14:sparklines>
        </x14:sparklineGroup>
        <x14:sparklineGroup displayEmptyCellsAs="gap" xr2:uid="{00000000-0003-0000-0100-00002A050000}">
          <x14:colorSeries rgb="FF000000"/>
          <x14:sparklines>
            <x14:sparkline>
              <xm:f>'KW Reserarch'!D87:O87</xm:f>
              <xm:sqref>C87</xm:sqref>
            </x14:sparkline>
          </x14:sparklines>
        </x14:sparklineGroup>
        <x14:sparklineGroup displayEmptyCellsAs="gap" xr2:uid="{00000000-0003-0000-0100-00002B050000}">
          <x14:colorSeries rgb="FF000000"/>
          <x14:sparklines>
            <x14:sparkline>
              <xm:f>'KW Reserarch'!D88:O88</xm:f>
              <xm:sqref>C88</xm:sqref>
            </x14:sparkline>
          </x14:sparklines>
        </x14:sparklineGroup>
        <x14:sparklineGroup displayEmptyCellsAs="gap" xr2:uid="{00000000-0003-0000-0100-00002C050000}">
          <x14:colorSeries rgb="FF000000"/>
          <x14:sparklines>
            <x14:sparkline>
              <xm:f>'KW Reserarch'!D89:O89</xm:f>
              <xm:sqref>C89</xm:sqref>
            </x14:sparkline>
          </x14:sparklines>
        </x14:sparklineGroup>
        <x14:sparklineGroup displayEmptyCellsAs="gap" xr2:uid="{00000000-0003-0000-0100-00002D050000}">
          <x14:colorSeries rgb="FF000000"/>
          <x14:sparklines>
            <x14:sparkline>
              <xm:f>'KW Reserarch'!D90:O90</xm:f>
              <xm:sqref>C90</xm:sqref>
            </x14:sparkline>
          </x14:sparklines>
        </x14:sparklineGroup>
        <x14:sparklineGroup displayEmptyCellsAs="gap" xr2:uid="{00000000-0003-0000-0100-00002E050000}">
          <x14:colorSeries rgb="FF000000"/>
          <x14:sparklines>
            <x14:sparkline>
              <xm:f>'KW Reserarch'!D91:O91</xm:f>
              <xm:sqref>C91</xm:sqref>
            </x14:sparkline>
          </x14:sparklines>
        </x14:sparklineGroup>
        <x14:sparklineGroup displayEmptyCellsAs="gap" xr2:uid="{00000000-0003-0000-0100-00002F050000}">
          <x14:colorSeries rgb="FF000000"/>
          <x14:sparklines>
            <x14:sparkline>
              <xm:f>'KW Reserarch'!D92:O92</xm:f>
              <xm:sqref>C92</xm:sqref>
            </x14:sparkline>
          </x14:sparklines>
        </x14:sparklineGroup>
        <x14:sparklineGroup displayEmptyCellsAs="gap" xr2:uid="{00000000-0003-0000-0100-000030050000}">
          <x14:colorSeries rgb="FF000000"/>
          <x14:sparklines>
            <x14:sparkline>
              <xm:f>'KW Reserarch'!D93:O93</xm:f>
              <xm:sqref>C93</xm:sqref>
            </x14:sparkline>
          </x14:sparklines>
        </x14:sparklineGroup>
        <x14:sparklineGroup displayEmptyCellsAs="gap" xr2:uid="{00000000-0003-0000-0100-000031050000}">
          <x14:colorSeries rgb="FF000000"/>
          <x14:sparklines>
            <x14:sparkline>
              <xm:f>'KW Reserarch'!D94:O94</xm:f>
              <xm:sqref>C94</xm:sqref>
            </x14:sparkline>
          </x14:sparklines>
        </x14:sparklineGroup>
        <x14:sparklineGroup displayEmptyCellsAs="gap" xr2:uid="{00000000-0003-0000-0100-000032050000}">
          <x14:colorSeries rgb="FF000000"/>
          <x14:sparklines>
            <x14:sparkline>
              <xm:f>'KW Reserarch'!D95:O95</xm:f>
              <xm:sqref>C95</xm:sqref>
            </x14:sparkline>
          </x14:sparklines>
        </x14:sparklineGroup>
        <x14:sparklineGroup displayEmptyCellsAs="gap" xr2:uid="{00000000-0003-0000-0100-000033050000}">
          <x14:colorSeries rgb="FF000000"/>
          <x14:sparklines>
            <x14:sparkline>
              <xm:f>'KW Reserarch'!D96:O96</xm:f>
              <xm:sqref>C96</xm:sqref>
            </x14:sparkline>
          </x14:sparklines>
        </x14:sparklineGroup>
        <x14:sparklineGroup displayEmptyCellsAs="gap" xr2:uid="{00000000-0003-0000-0100-000034050000}">
          <x14:colorSeries rgb="FF000000"/>
          <x14:sparklines>
            <x14:sparkline>
              <xm:f>'KW Reserarch'!D97:O97</xm:f>
              <xm:sqref>C97</xm:sqref>
            </x14:sparkline>
          </x14:sparklines>
        </x14:sparklineGroup>
        <x14:sparklineGroup displayEmptyCellsAs="gap" xr2:uid="{00000000-0003-0000-0100-000035050000}">
          <x14:colorSeries rgb="FF000000"/>
          <x14:sparklines>
            <x14:sparkline>
              <xm:f>'KW Reserarch'!D98:O98</xm:f>
              <xm:sqref>C98</xm:sqref>
            </x14:sparkline>
          </x14:sparklines>
        </x14:sparklineGroup>
        <x14:sparklineGroup displayEmptyCellsAs="gap" xr2:uid="{00000000-0003-0000-0100-000036050000}">
          <x14:colorSeries rgb="FF000000"/>
          <x14:sparklines>
            <x14:sparkline>
              <xm:f>'KW Reserarch'!D99:O99</xm:f>
              <xm:sqref>C99</xm:sqref>
            </x14:sparkline>
          </x14:sparklines>
        </x14:sparklineGroup>
        <x14:sparklineGroup displayEmptyCellsAs="gap" xr2:uid="{00000000-0003-0000-0100-000037050000}">
          <x14:colorSeries rgb="FF000000"/>
          <x14:sparklines>
            <x14:sparkline>
              <xm:f>'KW Reserarch'!D100:O100</xm:f>
              <xm:sqref>C100</xm:sqref>
            </x14:sparkline>
          </x14:sparklines>
        </x14:sparklineGroup>
        <x14:sparklineGroup displayEmptyCellsAs="gap" xr2:uid="{00000000-0003-0000-0100-000038050000}">
          <x14:colorSeries rgb="FF000000"/>
          <x14:sparklines>
            <x14:sparkline>
              <xm:f>'KW Reserarch'!D101:O101</xm:f>
              <xm:sqref>C101</xm:sqref>
            </x14:sparkline>
          </x14:sparklines>
        </x14:sparklineGroup>
        <x14:sparklineGroup displayEmptyCellsAs="gap" xr2:uid="{00000000-0003-0000-0100-000039050000}">
          <x14:colorSeries rgb="FF000000"/>
          <x14:sparklines>
            <x14:sparkline>
              <xm:f>'KW Reserarch'!D102:O102</xm:f>
              <xm:sqref>C102</xm:sqref>
            </x14:sparkline>
          </x14:sparklines>
        </x14:sparklineGroup>
        <x14:sparklineGroup displayEmptyCellsAs="gap" xr2:uid="{00000000-0003-0000-0100-00003A050000}">
          <x14:colorSeries rgb="FF000000"/>
          <x14:sparklines>
            <x14:sparkline>
              <xm:f>'KW Reserarch'!D103:O103</xm:f>
              <xm:sqref>C103</xm:sqref>
            </x14:sparkline>
          </x14:sparklines>
        </x14:sparklineGroup>
        <x14:sparklineGroup displayEmptyCellsAs="gap" xr2:uid="{00000000-0003-0000-0100-00003B050000}">
          <x14:colorSeries rgb="FF000000"/>
          <x14:sparklines>
            <x14:sparkline>
              <xm:f>'KW Reserarch'!D104:O104</xm:f>
              <xm:sqref>C104</xm:sqref>
            </x14:sparkline>
          </x14:sparklines>
        </x14:sparklineGroup>
        <x14:sparklineGroup displayEmptyCellsAs="gap" xr2:uid="{00000000-0003-0000-0100-00003C050000}">
          <x14:colorSeries rgb="FF000000"/>
          <x14:sparklines>
            <x14:sparkline>
              <xm:f>'KW Reserarch'!D105:O105</xm:f>
              <xm:sqref>C105</xm:sqref>
            </x14:sparkline>
          </x14:sparklines>
        </x14:sparklineGroup>
        <x14:sparklineGroup displayEmptyCellsAs="gap" xr2:uid="{00000000-0003-0000-0100-00003D050000}">
          <x14:colorSeries rgb="FF000000"/>
          <x14:sparklines>
            <x14:sparkline>
              <xm:f>'KW Reserarch'!D106:O106</xm:f>
              <xm:sqref>C106</xm:sqref>
            </x14:sparkline>
          </x14:sparklines>
        </x14:sparklineGroup>
        <x14:sparklineGroup displayEmptyCellsAs="gap" xr2:uid="{00000000-0003-0000-0100-00003E050000}">
          <x14:colorSeries rgb="FF000000"/>
          <x14:sparklines>
            <x14:sparkline>
              <xm:f>'KW Reserarch'!D107:O107</xm:f>
              <xm:sqref>C107</xm:sqref>
            </x14:sparkline>
          </x14:sparklines>
        </x14:sparklineGroup>
        <x14:sparklineGroup displayEmptyCellsAs="gap" xr2:uid="{00000000-0003-0000-0100-00003F050000}">
          <x14:colorSeries rgb="FF000000"/>
          <x14:sparklines>
            <x14:sparkline>
              <xm:f>'KW Reserarch'!D108:O108</xm:f>
              <xm:sqref>C108</xm:sqref>
            </x14:sparkline>
          </x14:sparklines>
        </x14:sparklineGroup>
        <x14:sparklineGroup displayEmptyCellsAs="gap" xr2:uid="{00000000-0003-0000-0100-000040050000}">
          <x14:colorSeries rgb="FF000000"/>
          <x14:sparklines>
            <x14:sparkline>
              <xm:f>'KW Reserarch'!D109:O109</xm:f>
              <xm:sqref>C109</xm:sqref>
            </x14:sparkline>
          </x14:sparklines>
        </x14:sparklineGroup>
        <x14:sparklineGroup displayEmptyCellsAs="gap" xr2:uid="{00000000-0003-0000-0100-000041050000}">
          <x14:colorSeries rgb="FF000000"/>
          <x14:sparklines>
            <x14:sparkline>
              <xm:f>'KW Reserarch'!D110:O110</xm:f>
              <xm:sqref>C110</xm:sqref>
            </x14:sparkline>
          </x14:sparklines>
        </x14:sparklineGroup>
        <x14:sparklineGroup displayEmptyCellsAs="gap" xr2:uid="{00000000-0003-0000-0100-000042050000}">
          <x14:colorSeries rgb="FF000000"/>
          <x14:sparklines>
            <x14:sparkline>
              <xm:f>'KW Reserarch'!D111:O111</xm:f>
              <xm:sqref>C111</xm:sqref>
            </x14:sparkline>
          </x14:sparklines>
        </x14:sparklineGroup>
        <x14:sparklineGroup displayEmptyCellsAs="gap" xr2:uid="{00000000-0003-0000-0100-000043050000}">
          <x14:colorSeries rgb="FF000000"/>
          <x14:sparklines>
            <x14:sparkline>
              <xm:f>'KW Reserarch'!D112:O112</xm:f>
              <xm:sqref>C112</xm:sqref>
            </x14:sparkline>
          </x14:sparklines>
        </x14:sparklineGroup>
        <x14:sparklineGroup displayEmptyCellsAs="gap" xr2:uid="{00000000-0003-0000-0100-000044050000}">
          <x14:colorSeries rgb="FF000000"/>
          <x14:sparklines>
            <x14:sparkline>
              <xm:f>'KW Reserarch'!D113:O113</xm:f>
              <xm:sqref>C113</xm:sqref>
            </x14:sparkline>
          </x14:sparklines>
        </x14:sparklineGroup>
        <x14:sparklineGroup displayEmptyCellsAs="gap" xr2:uid="{00000000-0003-0000-0100-000045050000}">
          <x14:colorSeries rgb="FF000000"/>
          <x14:sparklines>
            <x14:sparkline>
              <xm:f>'KW Reserarch'!D114:O114</xm:f>
              <xm:sqref>C114</xm:sqref>
            </x14:sparkline>
          </x14:sparklines>
        </x14:sparklineGroup>
        <x14:sparklineGroup displayEmptyCellsAs="gap" xr2:uid="{00000000-0003-0000-0100-000046050000}">
          <x14:colorSeries rgb="FF000000"/>
          <x14:sparklines>
            <x14:sparkline>
              <xm:f>'KW Reserarch'!D115:O115</xm:f>
              <xm:sqref>C115</xm:sqref>
            </x14:sparkline>
          </x14:sparklines>
        </x14:sparklineGroup>
        <x14:sparklineGroup displayEmptyCellsAs="gap" xr2:uid="{00000000-0003-0000-0100-000047050000}">
          <x14:colorSeries rgb="FF000000"/>
          <x14:sparklines>
            <x14:sparkline>
              <xm:f>'KW Reserarch'!D116:O116</xm:f>
              <xm:sqref>C116</xm:sqref>
            </x14:sparkline>
          </x14:sparklines>
        </x14:sparklineGroup>
        <x14:sparklineGroup displayEmptyCellsAs="gap" xr2:uid="{00000000-0003-0000-0100-000048050000}">
          <x14:colorSeries rgb="FF000000"/>
          <x14:sparklines>
            <x14:sparkline>
              <xm:f>'KW Reserarch'!D117:O117</xm:f>
              <xm:sqref>C117</xm:sqref>
            </x14:sparkline>
          </x14:sparklines>
        </x14:sparklineGroup>
        <x14:sparklineGroup displayEmptyCellsAs="gap" xr2:uid="{00000000-0003-0000-0100-000049050000}">
          <x14:colorSeries rgb="FF000000"/>
          <x14:sparklines>
            <x14:sparkline>
              <xm:f>'KW Reserarch'!D118:O118</xm:f>
              <xm:sqref>C118</xm:sqref>
            </x14:sparkline>
          </x14:sparklines>
        </x14:sparklineGroup>
        <x14:sparklineGroup displayEmptyCellsAs="gap" xr2:uid="{00000000-0003-0000-0100-00004A050000}">
          <x14:colorSeries rgb="FF000000"/>
          <x14:sparklines>
            <x14:sparkline>
              <xm:f>'KW Reserarch'!D119:O119</xm:f>
              <xm:sqref>C119</xm:sqref>
            </x14:sparkline>
          </x14:sparklines>
        </x14:sparklineGroup>
        <x14:sparklineGroup displayEmptyCellsAs="gap" xr2:uid="{00000000-0003-0000-0100-00004B050000}">
          <x14:colorSeries rgb="FF000000"/>
          <x14:sparklines>
            <x14:sparkline>
              <xm:f>'KW Reserarch'!D120:O120</xm:f>
              <xm:sqref>C120</xm:sqref>
            </x14:sparkline>
          </x14:sparklines>
        </x14:sparklineGroup>
        <x14:sparklineGroup displayEmptyCellsAs="gap" xr2:uid="{00000000-0003-0000-0100-00004C050000}">
          <x14:colorSeries rgb="FF000000"/>
          <x14:sparklines>
            <x14:sparkline>
              <xm:f>'KW Reserarch'!D121:O121</xm:f>
              <xm:sqref>C121</xm:sqref>
            </x14:sparkline>
          </x14:sparklines>
        </x14:sparklineGroup>
        <x14:sparklineGroup displayEmptyCellsAs="gap" xr2:uid="{00000000-0003-0000-0100-00004D050000}">
          <x14:colorSeries rgb="FF000000"/>
          <x14:sparklines>
            <x14:sparkline>
              <xm:f>'KW Reserarch'!D122:O122</xm:f>
              <xm:sqref>C122</xm:sqref>
            </x14:sparkline>
          </x14:sparklines>
        </x14:sparklineGroup>
        <x14:sparklineGroup displayEmptyCellsAs="gap" xr2:uid="{00000000-0003-0000-0100-00004E050000}">
          <x14:colorSeries rgb="FF000000"/>
          <x14:sparklines>
            <x14:sparkline>
              <xm:f>'KW Reserarch'!D123:O123</xm:f>
              <xm:sqref>C123</xm:sqref>
            </x14:sparkline>
          </x14:sparklines>
        </x14:sparklineGroup>
        <x14:sparklineGroup displayEmptyCellsAs="gap" xr2:uid="{00000000-0003-0000-0100-00004F050000}">
          <x14:colorSeries rgb="FF000000"/>
          <x14:sparklines>
            <x14:sparkline>
              <xm:f>'KW Reserarch'!D124:O124</xm:f>
              <xm:sqref>C124</xm:sqref>
            </x14:sparkline>
          </x14:sparklines>
        </x14:sparklineGroup>
        <x14:sparklineGroup displayEmptyCellsAs="gap" xr2:uid="{00000000-0003-0000-0100-000050050000}">
          <x14:colorSeries rgb="FF000000"/>
          <x14:sparklines>
            <x14:sparkline>
              <xm:f>'KW Reserarch'!D125:O125</xm:f>
              <xm:sqref>C125</xm:sqref>
            </x14:sparkline>
          </x14:sparklines>
        </x14:sparklineGroup>
        <x14:sparklineGroup displayEmptyCellsAs="gap" xr2:uid="{00000000-0003-0000-0100-000051050000}">
          <x14:colorSeries rgb="FF000000"/>
          <x14:sparklines>
            <x14:sparkline>
              <xm:f>'KW Reserarch'!D126:O126</xm:f>
              <xm:sqref>C126</xm:sqref>
            </x14:sparkline>
          </x14:sparklines>
        </x14:sparklineGroup>
        <x14:sparklineGroup displayEmptyCellsAs="gap" xr2:uid="{00000000-0003-0000-0100-000052050000}">
          <x14:colorSeries rgb="FF000000"/>
          <x14:sparklines>
            <x14:sparkline>
              <xm:f>'KW Reserarch'!D127:O127</xm:f>
              <xm:sqref>C127</xm:sqref>
            </x14:sparkline>
          </x14:sparklines>
        </x14:sparklineGroup>
        <x14:sparklineGroup displayEmptyCellsAs="gap" xr2:uid="{00000000-0003-0000-0100-000053050000}">
          <x14:colorSeries rgb="FF000000"/>
          <x14:sparklines>
            <x14:sparkline>
              <xm:f>'KW Reserarch'!D128:O128</xm:f>
              <xm:sqref>C128</xm:sqref>
            </x14:sparkline>
          </x14:sparklines>
        </x14:sparklineGroup>
        <x14:sparklineGroup displayEmptyCellsAs="gap" xr2:uid="{00000000-0003-0000-0100-000054050000}">
          <x14:colorSeries rgb="FF000000"/>
          <x14:sparklines>
            <x14:sparkline>
              <xm:f>'KW Reserarch'!D129:O129</xm:f>
              <xm:sqref>C129</xm:sqref>
            </x14:sparkline>
          </x14:sparklines>
        </x14:sparklineGroup>
        <x14:sparklineGroup displayEmptyCellsAs="gap" xr2:uid="{00000000-0003-0000-0100-000055050000}">
          <x14:colorSeries rgb="FF000000"/>
          <x14:sparklines>
            <x14:sparkline>
              <xm:f>'KW Reserarch'!D130:O130</xm:f>
              <xm:sqref>C130</xm:sqref>
            </x14:sparkline>
          </x14:sparklines>
        </x14:sparklineGroup>
        <x14:sparklineGroup displayEmptyCellsAs="gap" xr2:uid="{00000000-0003-0000-0100-000056050000}">
          <x14:colorSeries rgb="FF000000"/>
          <x14:sparklines>
            <x14:sparkline>
              <xm:f>'KW Reserarch'!D131:O131</xm:f>
              <xm:sqref>C131</xm:sqref>
            </x14:sparkline>
          </x14:sparklines>
        </x14:sparklineGroup>
        <x14:sparklineGroup displayEmptyCellsAs="gap" xr2:uid="{00000000-0003-0000-0100-000057050000}">
          <x14:colorSeries rgb="FF000000"/>
          <x14:sparklines>
            <x14:sparkline>
              <xm:f>'KW Reserarch'!D132:O132</xm:f>
              <xm:sqref>C132</xm:sqref>
            </x14:sparkline>
          </x14:sparklines>
        </x14:sparklineGroup>
        <x14:sparklineGroup displayEmptyCellsAs="gap" xr2:uid="{00000000-0003-0000-0100-000058050000}">
          <x14:colorSeries rgb="FF000000"/>
          <x14:sparklines>
            <x14:sparkline>
              <xm:f>'KW Reserarch'!D133:O133</xm:f>
              <xm:sqref>C133</xm:sqref>
            </x14:sparkline>
          </x14:sparklines>
        </x14:sparklineGroup>
        <x14:sparklineGroup displayEmptyCellsAs="gap" xr2:uid="{00000000-0003-0000-0100-000059050000}">
          <x14:colorSeries rgb="FF000000"/>
          <x14:sparklines>
            <x14:sparkline>
              <xm:f>'KW Reserarch'!D134:O134</xm:f>
              <xm:sqref>C134</xm:sqref>
            </x14:sparkline>
          </x14:sparklines>
        </x14:sparklineGroup>
        <x14:sparklineGroup displayEmptyCellsAs="gap" xr2:uid="{00000000-0003-0000-0100-00005A050000}">
          <x14:colorSeries rgb="FF000000"/>
          <x14:sparklines>
            <x14:sparkline>
              <xm:f>'KW Reserarch'!D135:O135</xm:f>
              <xm:sqref>C135</xm:sqref>
            </x14:sparkline>
          </x14:sparklines>
        </x14:sparklineGroup>
        <x14:sparklineGroup displayEmptyCellsAs="gap" xr2:uid="{00000000-0003-0000-0100-00005B050000}">
          <x14:colorSeries rgb="FF000000"/>
          <x14:sparklines>
            <x14:sparkline>
              <xm:f>'KW Reserarch'!D136:O136</xm:f>
              <xm:sqref>C136</xm:sqref>
            </x14:sparkline>
          </x14:sparklines>
        </x14:sparklineGroup>
        <x14:sparklineGroup displayEmptyCellsAs="gap" xr2:uid="{00000000-0003-0000-0100-00005C050000}">
          <x14:colorSeries rgb="FF000000"/>
          <x14:sparklines>
            <x14:sparkline>
              <xm:f>'KW Reserarch'!D137:O137</xm:f>
              <xm:sqref>C137</xm:sqref>
            </x14:sparkline>
          </x14:sparklines>
        </x14:sparklineGroup>
        <x14:sparklineGroup displayEmptyCellsAs="gap" xr2:uid="{00000000-0003-0000-0100-00005D050000}">
          <x14:colorSeries rgb="FF000000"/>
          <x14:sparklines>
            <x14:sparkline>
              <xm:f>'KW Reserarch'!D138:O138</xm:f>
              <xm:sqref>C138</xm:sqref>
            </x14:sparkline>
          </x14:sparklines>
        </x14:sparklineGroup>
        <x14:sparklineGroup displayEmptyCellsAs="gap" xr2:uid="{00000000-0003-0000-0100-00005E050000}">
          <x14:colorSeries rgb="FF000000"/>
          <x14:sparklines>
            <x14:sparkline>
              <xm:f>'KW Reserarch'!D139:O139</xm:f>
              <xm:sqref>C139</xm:sqref>
            </x14:sparkline>
          </x14:sparklines>
        </x14:sparklineGroup>
        <x14:sparklineGroup displayEmptyCellsAs="gap" xr2:uid="{00000000-0003-0000-0100-00005F050000}">
          <x14:colorSeries rgb="FF000000"/>
          <x14:sparklines>
            <x14:sparkline>
              <xm:f>'KW Reserarch'!D140:O140</xm:f>
              <xm:sqref>C140</xm:sqref>
            </x14:sparkline>
          </x14:sparklines>
        </x14:sparklineGroup>
        <x14:sparklineGroup displayEmptyCellsAs="gap" xr2:uid="{00000000-0003-0000-0100-000060050000}">
          <x14:colorSeries rgb="FF000000"/>
          <x14:sparklines>
            <x14:sparkline>
              <xm:f>'KW Reserarch'!D141:O141</xm:f>
              <xm:sqref>C141</xm:sqref>
            </x14:sparkline>
          </x14:sparklines>
        </x14:sparklineGroup>
        <x14:sparklineGroup displayEmptyCellsAs="gap" xr2:uid="{00000000-0003-0000-0100-000061050000}">
          <x14:colorSeries rgb="FF000000"/>
          <x14:sparklines>
            <x14:sparkline>
              <xm:f>'KW Reserarch'!D142:O142</xm:f>
              <xm:sqref>C142</xm:sqref>
            </x14:sparkline>
          </x14:sparklines>
        </x14:sparklineGroup>
        <x14:sparklineGroup displayEmptyCellsAs="gap" xr2:uid="{00000000-0003-0000-0100-000062050000}">
          <x14:colorSeries rgb="FF000000"/>
          <x14:sparklines>
            <x14:sparkline>
              <xm:f>'KW Reserarch'!D143:O143</xm:f>
              <xm:sqref>C143</xm:sqref>
            </x14:sparkline>
          </x14:sparklines>
        </x14:sparklineGroup>
        <x14:sparklineGroup displayEmptyCellsAs="gap" xr2:uid="{00000000-0003-0000-0100-000063050000}">
          <x14:colorSeries rgb="FF000000"/>
          <x14:sparklines>
            <x14:sparkline>
              <xm:f>'KW Reserarch'!D144:O144</xm:f>
              <xm:sqref>C144</xm:sqref>
            </x14:sparkline>
          </x14:sparklines>
        </x14:sparklineGroup>
        <x14:sparklineGroup displayEmptyCellsAs="gap" xr2:uid="{00000000-0003-0000-0100-000064050000}">
          <x14:colorSeries rgb="FF000000"/>
          <x14:sparklines>
            <x14:sparkline>
              <xm:f>'KW Reserarch'!D145:O145</xm:f>
              <xm:sqref>C145</xm:sqref>
            </x14:sparkline>
          </x14:sparklines>
        </x14:sparklineGroup>
        <x14:sparklineGroup displayEmptyCellsAs="gap" xr2:uid="{00000000-0003-0000-0100-000065050000}">
          <x14:colorSeries rgb="FF000000"/>
          <x14:sparklines>
            <x14:sparkline>
              <xm:f>'KW Reserarch'!D146:O146</xm:f>
              <xm:sqref>C146</xm:sqref>
            </x14:sparkline>
          </x14:sparklines>
        </x14:sparklineGroup>
        <x14:sparklineGroup displayEmptyCellsAs="gap" xr2:uid="{00000000-0003-0000-0100-000066050000}">
          <x14:colorSeries rgb="FF000000"/>
          <x14:sparklines>
            <x14:sparkline>
              <xm:f>'KW Reserarch'!D147:O147</xm:f>
              <xm:sqref>C147</xm:sqref>
            </x14:sparkline>
          </x14:sparklines>
        </x14:sparklineGroup>
        <x14:sparklineGroup displayEmptyCellsAs="gap" xr2:uid="{00000000-0003-0000-0100-000067050000}">
          <x14:colorSeries rgb="FF000000"/>
          <x14:sparklines>
            <x14:sparkline>
              <xm:f>'KW Reserarch'!D148:O148</xm:f>
              <xm:sqref>C148</xm:sqref>
            </x14:sparkline>
          </x14:sparklines>
        </x14:sparklineGroup>
        <x14:sparklineGroup displayEmptyCellsAs="gap" xr2:uid="{00000000-0003-0000-0100-000068050000}">
          <x14:colorSeries rgb="FF000000"/>
          <x14:sparklines>
            <x14:sparkline>
              <xm:f>'KW Reserarch'!D149:O149</xm:f>
              <xm:sqref>C149</xm:sqref>
            </x14:sparkline>
          </x14:sparklines>
        </x14:sparklineGroup>
        <x14:sparklineGroup displayEmptyCellsAs="gap" xr2:uid="{00000000-0003-0000-0100-000069050000}">
          <x14:colorSeries rgb="FF000000"/>
          <x14:sparklines>
            <x14:sparkline>
              <xm:f>'KW Reserarch'!D150:O150</xm:f>
              <xm:sqref>C150</xm:sqref>
            </x14:sparkline>
          </x14:sparklines>
        </x14:sparklineGroup>
        <x14:sparklineGroup displayEmptyCellsAs="gap" xr2:uid="{00000000-0003-0000-0100-00006A050000}">
          <x14:colorSeries rgb="FF000000"/>
          <x14:sparklines>
            <x14:sparkline>
              <xm:f>'KW Reserarch'!D151:O151</xm:f>
              <xm:sqref>C151</xm:sqref>
            </x14:sparkline>
          </x14:sparklines>
        </x14:sparklineGroup>
        <x14:sparklineGroup displayEmptyCellsAs="gap" xr2:uid="{00000000-0003-0000-0100-00006B050000}">
          <x14:colorSeries rgb="FF000000"/>
          <x14:sparklines>
            <x14:sparkline>
              <xm:f>'KW Reserarch'!D152:O152</xm:f>
              <xm:sqref>C152</xm:sqref>
            </x14:sparkline>
          </x14:sparklines>
        </x14:sparklineGroup>
        <x14:sparklineGroup displayEmptyCellsAs="gap" xr2:uid="{00000000-0003-0000-0100-00006C050000}">
          <x14:colorSeries rgb="FF000000"/>
          <x14:sparklines>
            <x14:sparkline>
              <xm:f>'KW Reserarch'!D153:O153</xm:f>
              <xm:sqref>C153</xm:sqref>
            </x14:sparkline>
          </x14:sparklines>
        </x14:sparklineGroup>
        <x14:sparklineGroup displayEmptyCellsAs="gap" xr2:uid="{00000000-0003-0000-0100-00006D050000}">
          <x14:colorSeries rgb="FF000000"/>
          <x14:sparklines>
            <x14:sparkline>
              <xm:f>'KW Reserarch'!D154:O154</xm:f>
              <xm:sqref>C154</xm:sqref>
            </x14:sparkline>
          </x14:sparklines>
        </x14:sparklineGroup>
        <x14:sparklineGroup displayEmptyCellsAs="gap" xr2:uid="{00000000-0003-0000-0100-00006E050000}">
          <x14:colorSeries rgb="FF000000"/>
          <x14:sparklines>
            <x14:sparkline>
              <xm:f>'KW Reserarch'!D155:O155</xm:f>
              <xm:sqref>C155</xm:sqref>
            </x14:sparkline>
          </x14:sparklines>
        </x14:sparklineGroup>
        <x14:sparklineGroup displayEmptyCellsAs="gap" xr2:uid="{00000000-0003-0000-0100-00006F050000}">
          <x14:colorSeries rgb="FF000000"/>
          <x14:sparklines>
            <x14:sparkline>
              <xm:f>'KW Reserarch'!D156:O156</xm:f>
              <xm:sqref>C156</xm:sqref>
            </x14:sparkline>
          </x14:sparklines>
        </x14:sparklineGroup>
        <x14:sparklineGroup displayEmptyCellsAs="gap" xr2:uid="{00000000-0003-0000-0100-000070050000}">
          <x14:colorSeries rgb="FF000000"/>
          <x14:sparklines>
            <x14:sparkline>
              <xm:f>'KW Reserarch'!D157:O157</xm:f>
              <xm:sqref>C157</xm:sqref>
            </x14:sparkline>
          </x14:sparklines>
        </x14:sparklineGroup>
        <x14:sparklineGroup displayEmptyCellsAs="gap" xr2:uid="{00000000-0003-0000-0100-000071050000}">
          <x14:colorSeries rgb="FF000000"/>
          <x14:sparklines>
            <x14:sparkline>
              <xm:f>'KW Reserarch'!D158:O158</xm:f>
              <xm:sqref>C158</xm:sqref>
            </x14:sparkline>
          </x14:sparklines>
        </x14:sparklineGroup>
        <x14:sparklineGroup displayEmptyCellsAs="gap" xr2:uid="{00000000-0003-0000-0100-000072050000}">
          <x14:colorSeries rgb="FF000000"/>
          <x14:sparklines>
            <x14:sparkline>
              <xm:f>'KW Reserarch'!D159:O159</xm:f>
              <xm:sqref>C159</xm:sqref>
            </x14:sparkline>
          </x14:sparklines>
        </x14:sparklineGroup>
        <x14:sparklineGroup displayEmptyCellsAs="gap" xr2:uid="{00000000-0003-0000-0100-000073050000}">
          <x14:colorSeries rgb="FF000000"/>
          <x14:sparklines>
            <x14:sparkline>
              <xm:f>'KW Reserarch'!D160:O160</xm:f>
              <xm:sqref>C160</xm:sqref>
            </x14:sparkline>
          </x14:sparklines>
        </x14:sparklineGroup>
        <x14:sparklineGroup displayEmptyCellsAs="gap" xr2:uid="{00000000-0003-0000-0100-000074050000}">
          <x14:colorSeries rgb="FF000000"/>
          <x14:sparklines>
            <x14:sparkline>
              <xm:f>'KW Reserarch'!D161:O161</xm:f>
              <xm:sqref>C161</xm:sqref>
            </x14:sparkline>
          </x14:sparklines>
        </x14:sparklineGroup>
        <x14:sparklineGroup displayEmptyCellsAs="gap" xr2:uid="{00000000-0003-0000-0100-000075050000}">
          <x14:colorSeries rgb="FF000000"/>
          <x14:sparklines>
            <x14:sparkline>
              <xm:f>'KW Reserarch'!D162:O162</xm:f>
              <xm:sqref>C162</xm:sqref>
            </x14:sparkline>
          </x14:sparklines>
        </x14:sparklineGroup>
        <x14:sparklineGroup displayEmptyCellsAs="gap" xr2:uid="{00000000-0003-0000-0100-000076050000}">
          <x14:colorSeries rgb="FF000000"/>
          <x14:sparklines>
            <x14:sparkline>
              <xm:f>'KW Reserarch'!D163:O163</xm:f>
              <xm:sqref>C163</xm:sqref>
            </x14:sparkline>
          </x14:sparklines>
        </x14:sparklineGroup>
        <x14:sparklineGroup displayEmptyCellsAs="gap" xr2:uid="{00000000-0003-0000-0100-000077050000}">
          <x14:colorSeries rgb="FF000000"/>
          <x14:sparklines>
            <x14:sparkline>
              <xm:f>'KW Reserarch'!D164:O164</xm:f>
              <xm:sqref>C164</xm:sqref>
            </x14:sparkline>
          </x14:sparklines>
        </x14:sparklineGroup>
        <x14:sparklineGroup displayEmptyCellsAs="gap" xr2:uid="{00000000-0003-0000-0100-000078050000}">
          <x14:colorSeries rgb="FF000000"/>
          <x14:sparklines>
            <x14:sparkline>
              <xm:f>'KW Reserarch'!D165:O165</xm:f>
              <xm:sqref>C165</xm:sqref>
            </x14:sparkline>
          </x14:sparklines>
        </x14:sparklineGroup>
        <x14:sparklineGroup displayEmptyCellsAs="gap" xr2:uid="{00000000-0003-0000-0100-000079050000}">
          <x14:colorSeries rgb="FF000000"/>
          <x14:sparklines>
            <x14:sparkline>
              <xm:f>'KW Reserarch'!D166:O166</xm:f>
              <xm:sqref>C166</xm:sqref>
            </x14:sparkline>
          </x14:sparklines>
        </x14:sparklineGroup>
        <x14:sparklineGroup displayEmptyCellsAs="gap" xr2:uid="{00000000-0003-0000-0100-00007A050000}">
          <x14:colorSeries rgb="FF000000"/>
          <x14:sparklines>
            <x14:sparkline>
              <xm:f>'KW Reserarch'!D167:O167</xm:f>
              <xm:sqref>C167</xm:sqref>
            </x14:sparkline>
          </x14:sparklines>
        </x14:sparklineGroup>
        <x14:sparklineGroup displayEmptyCellsAs="gap" xr2:uid="{00000000-0003-0000-0100-00007B050000}">
          <x14:colorSeries rgb="FF000000"/>
          <x14:sparklines>
            <x14:sparkline>
              <xm:f>'KW Reserarch'!D168:O168</xm:f>
              <xm:sqref>C168</xm:sqref>
            </x14:sparkline>
          </x14:sparklines>
        </x14:sparklineGroup>
        <x14:sparklineGroup displayEmptyCellsAs="gap" xr2:uid="{00000000-0003-0000-0100-00007C050000}">
          <x14:colorSeries rgb="FF000000"/>
          <x14:sparklines>
            <x14:sparkline>
              <xm:f>'KW Reserarch'!D169:O169</xm:f>
              <xm:sqref>C169</xm:sqref>
            </x14:sparkline>
          </x14:sparklines>
        </x14:sparklineGroup>
        <x14:sparklineGroup displayEmptyCellsAs="gap" xr2:uid="{00000000-0003-0000-0100-00007D050000}">
          <x14:colorSeries rgb="FF000000"/>
          <x14:sparklines>
            <x14:sparkline>
              <xm:f>'KW Reserarch'!D170:O170</xm:f>
              <xm:sqref>C170</xm:sqref>
            </x14:sparkline>
          </x14:sparklines>
        </x14:sparklineGroup>
        <x14:sparklineGroup displayEmptyCellsAs="gap" xr2:uid="{00000000-0003-0000-0100-00007E050000}">
          <x14:colorSeries rgb="FF000000"/>
          <x14:sparklines>
            <x14:sparkline>
              <xm:f>'KW Reserarch'!D171:O171</xm:f>
              <xm:sqref>C171</xm:sqref>
            </x14:sparkline>
          </x14:sparklines>
        </x14:sparklineGroup>
        <x14:sparklineGroup displayEmptyCellsAs="gap" xr2:uid="{00000000-0003-0000-0100-00007F050000}">
          <x14:colorSeries rgb="FF000000"/>
          <x14:sparklines>
            <x14:sparkline>
              <xm:f>'KW Reserarch'!D172:O172</xm:f>
              <xm:sqref>C172</xm:sqref>
            </x14:sparkline>
          </x14:sparklines>
        </x14:sparklineGroup>
        <x14:sparklineGroup displayEmptyCellsAs="gap" xr2:uid="{00000000-0003-0000-0100-000080050000}">
          <x14:colorSeries rgb="FF000000"/>
          <x14:sparklines>
            <x14:sparkline>
              <xm:f>'KW Reserarch'!D173:O173</xm:f>
              <xm:sqref>C173</xm:sqref>
            </x14:sparkline>
          </x14:sparklines>
        </x14:sparklineGroup>
        <x14:sparklineGroup displayEmptyCellsAs="gap" xr2:uid="{00000000-0003-0000-0100-000081050000}">
          <x14:colorSeries rgb="FF000000"/>
          <x14:sparklines>
            <x14:sparkline>
              <xm:f>'KW Reserarch'!D174:O174</xm:f>
              <xm:sqref>C174</xm:sqref>
            </x14:sparkline>
          </x14:sparklines>
        </x14:sparklineGroup>
        <x14:sparklineGroup displayEmptyCellsAs="gap" xr2:uid="{00000000-0003-0000-0100-000082050000}">
          <x14:colorSeries rgb="FF000000"/>
          <x14:sparklines>
            <x14:sparkline>
              <xm:f>'KW Reserarch'!D175:O175</xm:f>
              <xm:sqref>C175</xm:sqref>
            </x14:sparkline>
          </x14:sparklines>
        </x14:sparklineGroup>
        <x14:sparklineGroup displayEmptyCellsAs="gap" xr2:uid="{00000000-0003-0000-0100-000083050000}">
          <x14:colorSeries rgb="FF000000"/>
          <x14:sparklines>
            <x14:sparkline>
              <xm:f>'KW Reserarch'!D176:O176</xm:f>
              <xm:sqref>C176</xm:sqref>
            </x14:sparkline>
          </x14:sparklines>
        </x14:sparklineGroup>
        <x14:sparklineGroup displayEmptyCellsAs="gap" xr2:uid="{00000000-0003-0000-0100-000084050000}">
          <x14:colorSeries rgb="FF000000"/>
          <x14:sparklines>
            <x14:sparkline>
              <xm:f>'KW Reserarch'!D177:O177</xm:f>
              <xm:sqref>C177</xm:sqref>
            </x14:sparkline>
          </x14:sparklines>
        </x14:sparklineGroup>
        <x14:sparklineGroup displayEmptyCellsAs="gap" xr2:uid="{00000000-0003-0000-0100-000085050000}">
          <x14:colorSeries rgb="FF000000"/>
          <x14:sparklines>
            <x14:sparkline>
              <xm:f>'KW Reserarch'!D178:O178</xm:f>
              <xm:sqref>C178</xm:sqref>
            </x14:sparkline>
          </x14:sparklines>
        </x14:sparklineGroup>
        <x14:sparklineGroup displayEmptyCellsAs="gap" xr2:uid="{00000000-0003-0000-0100-000086050000}">
          <x14:colorSeries rgb="FF000000"/>
          <x14:sparklines>
            <x14:sparkline>
              <xm:f>'KW Reserarch'!D179:O179</xm:f>
              <xm:sqref>C179</xm:sqref>
            </x14:sparkline>
          </x14:sparklines>
        </x14:sparklineGroup>
        <x14:sparklineGroup displayEmptyCellsAs="gap" xr2:uid="{00000000-0003-0000-0100-000087050000}">
          <x14:colorSeries rgb="FF000000"/>
          <x14:sparklines>
            <x14:sparkline>
              <xm:f>'KW Reserarch'!D180:O180</xm:f>
              <xm:sqref>C180</xm:sqref>
            </x14:sparkline>
          </x14:sparklines>
        </x14:sparklineGroup>
        <x14:sparklineGroup displayEmptyCellsAs="gap" xr2:uid="{00000000-0003-0000-0100-000088050000}">
          <x14:colorSeries rgb="FF000000"/>
          <x14:sparklines>
            <x14:sparkline>
              <xm:f>'KW Reserarch'!D181:O181</xm:f>
              <xm:sqref>C181</xm:sqref>
            </x14:sparkline>
          </x14:sparklines>
        </x14:sparklineGroup>
        <x14:sparklineGroup displayEmptyCellsAs="gap" xr2:uid="{00000000-0003-0000-0100-000089050000}">
          <x14:colorSeries rgb="FF000000"/>
          <x14:sparklines>
            <x14:sparkline>
              <xm:f>'KW Reserarch'!D182:O182</xm:f>
              <xm:sqref>C182</xm:sqref>
            </x14:sparkline>
          </x14:sparklines>
        </x14:sparklineGroup>
        <x14:sparklineGroup displayEmptyCellsAs="gap" xr2:uid="{00000000-0003-0000-0100-00008A050000}">
          <x14:colorSeries rgb="FF000000"/>
          <x14:sparklines>
            <x14:sparkline>
              <xm:f>'KW Reserarch'!D183:O183</xm:f>
              <xm:sqref>C183</xm:sqref>
            </x14:sparkline>
          </x14:sparklines>
        </x14:sparklineGroup>
        <x14:sparklineGroup displayEmptyCellsAs="gap" xr2:uid="{00000000-0003-0000-0100-00008B050000}">
          <x14:colorSeries rgb="FF000000"/>
          <x14:sparklines>
            <x14:sparkline>
              <xm:f>'KW Reserarch'!D184:O184</xm:f>
              <xm:sqref>C184</xm:sqref>
            </x14:sparkline>
          </x14:sparklines>
        </x14:sparklineGroup>
        <x14:sparklineGroup displayEmptyCellsAs="gap" xr2:uid="{00000000-0003-0000-0100-00008C050000}">
          <x14:colorSeries rgb="FF000000"/>
          <x14:sparklines>
            <x14:sparkline>
              <xm:f>'KW Reserarch'!D185:O185</xm:f>
              <xm:sqref>C185</xm:sqref>
            </x14:sparkline>
          </x14:sparklines>
        </x14:sparklineGroup>
        <x14:sparklineGroup displayEmptyCellsAs="gap" xr2:uid="{00000000-0003-0000-0100-00008D050000}">
          <x14:colorSeries rgb="FF000000"/>
          <x14:sparklines>
            <x14:sparkline>
              <xm:f>'KW Reserarch'!D186:O186</xm:f>
              <xm:sqref>C186</xm:sqref>
            </x14:sparkline>
          </x14:sparklines>
        </x14:sparklineGroup>
        <x14:sparklineGroup displayEmptyCellsAs="gap" xr2:uid="{00000000-0003-0000-0100-00008E050000}">
          <x14:colorSeries rgb="FF000000"/>
          <x14:sparklines>
            <x14:sparkline>
              <xm:f>'KW Reserarch'!D187:O187</xm:f>
              <xm:sqref>C187</xm:sqref>
            </x14:sparkline>
          </x14:sparklines>
        </x14:sparklineGroup>
        <x14:sparklineGroup displayEmptyCellsAs="gap" xr2:uid="{00000000-0003-0000-0100-00008F050000}">
          <x14:colorSeries rgb="FF000000"/>
          <x14:sparklines>
            <x14:sparkline>
              <xm:f>'KW Reserarch'!D188:O188</xm:f>
              <xm:sqref>C188</xm:sqref>
            </x14:sparkline>
          </x14:sparklines>
        </x14:sparklineGroup>
        <x14:sparklineGroup displayEmptyCellsAs="gap" xr2:uid="{00000000-0003-0000-0100-000090050000}">
          <x14:colorSeries rgb="FF000000"/>
          <x14:sparklines>
            <x14:sparkline>
              <xm:f>'KW Reserarch'!D189:O189</xm:f>
              <xm:sqref>C189</xm:sqref>
            </x14:sparkline>
          </x14:sparklines>
        </x14:sparklineGroup>
        <x14:sparklineGroup displayEmptyCellsAs="gap" xr2:uid="{00000000-0003-0000-0100-000091050000}">
          <x14:colorSeries rgb="FF000000"/>
          <x14:sparklines>
            <x14:sparkline>
              <xm:f>'KW Reserarch'!D190:O190</xm:f>
              <xm:sqref>C190</xm:sqref>
            </x14:sparkline>
          </x14:sparklines>
        </x14:sparklineGroup>
        <x14:sparklineGroup displayEmptyCellsAs="gap" xr2:uid="{00000000-0003-0000-0100-000092050000}">
          <x14:colorSeries rgb="FF000000"/>
          <x14:sparklines>
            <x14:sparkline>
              <xm:f>'KW Reserarch'!D191:O191</xm:f>
              <xm:sqref>C191</xm:sqref>
            </x14:sparkline>
          </x14:sparklines>
        </x14:sparklineGroup>
        <x14:sparklineGroup displayEmptyCellsAs="gap" xr2:uid="{00000000-0003-0000-0100-000093050000}">
          <x14:colorSeries rgb="FF000000"/>
          <x14:sparklines>
            <x14:sparkline>
              <xm:f>'KW Reserarch'!D192:O192</xm:f>
              <xm:sqref>C192</xm:sqref>
            </x14:sparkline>
          </x14:sparklines>
        </x14:sparklineGroup>
        <x14:sparklineGroup displayEmptyCellsAs="gap" xr2:uid="{00000000-0003-0000-0100-000094050000}">
          <x14:colorSeries rgb="FF000000"/>
          <x14:sparklines>
            <x14:sparkline>
              <xm:f>'KW Reserarch'!D193:O193</xm:f>
              <xm:sqref>C193</xm:sqref>
            </x14:sparkline>
          </x14:sparklines>
        </x14:sparklineGroup>
        <x14:sparklineGroup displayEmptyCellsAs="gap" xr2:uid="{00000000-0003-0000-0100-000095050000}">
          <x14:colorSeries rgb="FF000000"/>
          <x14:sparklines>
            <x14:sparkline>
              <xm:f>'KW Reserarch'!D194:O194</xm:f>
              <xm:sqref>C194</xm:sqref>
            </x14:sparkline>
          </x14:sparklines>
        </x14:sparklineGroup>
        <x14:sparklineGroup displayEmptyCellsAs="gap" xr2:uid="{00000000-0003-0000-0100-000096050000}">
          <x14:colorSeries rgb="FF000000"/>
          <x14:sparklines>
            <x14:sparkline>
              <xm:f>'KW Reserarch'!D195:O195</xm:f>
              <xm:sqref>C195</xm:sqref>
            </x14:sparkline>
          </x14:sparklines>
        </x14:sparklineGroup>
        <x14:sparklineGroup displayEmptyCellsAs="gap" xr2:uid="{00000000-0003-0000-0100-000097050000}">
          <x14:colorSeries rgb="FF000000"/>
          <x14:sparklines>
            <x14:sparkline>
              <xm:f>'KW Reserarch'!D196:O196</xm:f>
              <xm:sqref>C196</xm:sqref>
            </x14:sparkline>
          </x14:sparklines>
        </x14:sparklineGroup>
        <x14:sparklineGroup displayEmptyCellsAs="gap" xr2:uid="{00000000-0003-0000-0100-000098050000}">
          <x14:colorSeries rgb="FF000000"/>
          <x14:sparklines>
            <x14:sparkline>
              <xm:f>'KW Reserarch'!D197:O197</xm:f>
              <xm:sqref>C197</xm:sqref>
            </x14:sparkline>
          </x14:sparklines>
        </x14:sparklineGroup>
        <x14:sparklineGroup displayEmptyCellsAs="gap" xr2:uid="{00000000-0003-0000-0100-000099050000}">
          <x14:colorSeries rgb="FF000000"/>
          <x14:sparklines>
            <x14:sparkline>
              <xm:f>'KW Reserarch'!D198:O198</xm:f>
              <xm:sqref>C198</xm:sqref>
            </x14:sparkline>
          </x14:sparklines>
        </x14:sparklineGroup>
        <x14:sparklineGroup displayEmptyCellsAs="gap" xr2:uid="{00000000-0003-0000-0100-00009A050000}">
          <x14:colorSeries rgb="FF000000"/>
          <x14:sparklines>
            <x14:sparkline>
              <xm:f>'KW Reserarch'!D199:O199</xm:f>
              <xm:sqref>C199</xm:sqref>
            </x14:sparkline>
          </x14:sparklines>
        </x14:sparklineGroup>
        <x14:sparklineGroup displayEmptyCellsAs="gap" xr2:uid="{00000000-0003-0000-0100-00009B050000}">
          <x14:colorSeries rgb="FF000000"/>
          <x14:sparklines>
            <x14:sparkline>
              <xm:f>'KW Reserarch'!D200:O200</xm:f>
              <xm:sqref>C200</xm:sqref>
            </x14:sparkline>
          </x14:sparklines>
        </x14:sparklineGroup>
        <x14:sparklineGroup displayEmptyCellsAs="gap" xr2:uid="{00000000-0003-0000-0100-00009C050000}">
          <x14:colorSeries rgb="FF000000"/>
          <x14:sparklines>
            <x14:sparkline>
              <xm:f>'KW Reserarch'!D201:O201</xm:f>
              <xm:sqref>C201</xm:sqref>
            </x14:sparkline>
          </x14:sparklines>
        </x14:sparklineGroup>
        <x14:sparklineGroup displayEmptyCellsAs="gap" xr2:uid="{00000000-0003-0000-0100-00009D050000}">
          <x14:colorSeries rgb="FF000000"/>
          <x14:sparklines>
            <x14:sparkline>
              <xm:f>'KW Reserarch'!D202:O202</xm:f>
              <xm:sqref>C202</xm:sqref>
            </x14:sparkline>
          </x14:sparklines>
        </x14:sparklineGroup>
        <x14:sparklineGroup displayEmptyCellsAs="gap" xr2:uid="{00000000-0003-0000-0100-00009E050000}">
          <x14:colorSeries rgb="FF000000"/>
          <x14:sparklines>
            <x14:sparkline>
              <xm:f>'KW Reserarch'!D203:O203</xm:f>
              <xm:sqref>C203</xm:sqref>
            </x14:sparkline>
          </x14:sparklines>
        </x14:sparklineGroup>
        <x14:sparklineGroup displayEmptyCellsAs="gap" xr2:uid="{00000000-0003-0000-0100-00009F050000}">
          <x14:colorSeries rgb="FF000000"/>
          <x14:sparklines>
            <x14:sparkline>
              <xm:f>'KW Reserarch'!D204:O204</xm:f>
              <xm:sqref>C204</xm:sqref>
            </x14:sparkline>
          </x14:sparklines>
        </x14:sparklineGroup>
        <x14:sparklineGroup displayEmptyCellsAs="gap" xr2:uid="{00000000-0003-0000-0100-0000A0050000}">
          <x14:colorSeries rgb="FF000000"/>
          <x14:sparklines>
            <x14:sparkline>
              <xm:f>'KW Reserarch'!D205:O205</xm:f>
              <xm:sqref>C205</xm:sqref>
            </x14:sparkline>
          </x14:sparklines>
        </x14:sparklineGroup>
        <x14:sparklineGroup displayEmptyCellsAs="gap" xr2:uid="{00000000-0003-0000-0100-0000A1050000}">
          <x14:colorSeries rgb="FF000000"/>
          <x14:sparklines>
            <x14:sparkline>
              <xm:f>'KW Reserarch'!D206:O206</xm:f>
              <xm:sqref>C206</xm:sqref>
            </x14:sparkline>
          </x14:sparklines>
        </x14:sparklineGroup>
        <x14:sparklineGroup displayEmptyCellsAs="gap" xr2:uid="{00000000-0003-0000-0100-0000A2050000}">
          <x14:colorSeries rgb="FF000000"/>
          <x14:sparklines>
            <x14:sparkline>
              <xm:f>'KW Reserarch'!D207:O207</xm:f>
              <xm:sqref>C207</xm:sqref>
            </x14:sparkline>
          </x14:sparklines>
        </x14:sparklineGroup>
        <x14:sparklineGroup displayEmptyCellsAs="gap" xr2:uid="{00000000-0003-0000-0100-0000A3050000}">
          <x14:colorSeries rgb="FF000000"/>
          <x14:sparklines>
            <x14:sparkline>
              <xm:f>'KW Reserarch'!D208:O208</xm:f>
              <xm:sqref>C208</xm:sqref>
            </x14:sparkline>
          </x14:sparklines>
        </x14:sparklineGroup>
        <x14:sparklineGroup displayEmptyCellsAs="gap" xr2:uid="{00000000-0003-0000-0100-0000A4050000}">
          <x14:colorSeries rgb="FF000000"/>
          <x14:sparklines>
            <x14:sparkline>
              <xm:f>'KW Reserarch'!D209:O209</xm:f>
              <xm:sqref>C209</xm:sqref>
            </x14:sparkline>
          </x14:sparklines>
        </x14:sparklineGroup>
        <x14:sparklineGroup displayEmptyCellsAs="gap" xr2:uid="{00000000-0003-0000-0100-0000A5050000}">
          <x14:colorSeries rgb="FF000000"/>
          <x14:sparklines>
            <x14:sparkline>
              <xm:f>'KW Reserarch'!D210:O210</xm:f>
              <xm:sqref>C210</xm:sqref>
            </x14:sparkline>
          </x14:sparklines>
        </x14:sparklineGroup>
        <x14:sparklineGroup displayEmptyCellsAs="gap" xr2:uid="{00000000-0003-0000-0100-0000A6050000}">
          <x14:colorSeries rgb="FF000000"/>
          <x14:sparklines>
            <x14:sparkline>
              <xm:f>'KW Reserarch'!D211:O211</xm:f>
              <xm:sqref>C211</xm:sqref>
            </x14:sparkline>
          </x14:sparklines>
        </x14:sparklineGroup>
        <x14:sparklineGroup displayEmptyCellsAs="gap" xr2:uid="{00000000-0003-0000-0100-0000A7050000}">
          <x14:colorSeries rgb="FF000000"/>
          <x14:sparklines>
            <x14:sparkline>
              <xm:f>'KW Reserarch'!D212:O212</xm:f>
              <xm:sqref>C212</xm:sqref>
            </x14:sparkline>
          </x14:sparklines>
        </x14:sparklineGroup>
        <x14:sparklineGroup displayEmptyCellsAs="gap" xr2:uid="{00000000-0003-0000-0100-0000A8050000}">
          <x14:colorSeries rgb="FF000000"/>
          <x14:sparklines>
            <x14:sparkline>
              <xm:f>'KW Reserarch'!D213:O213</xm:f>
              <xm:sqref>C213</xm:sqref>
            </x14:sparkline>
          </x14:sparklines>
        </x14:sparklineGroup>
        <x14:sparklineGroup displayEmptyCellsAs="gap" xr2:uid="{00000000-0003-0000-0100-0000A9050000}">
          <x14:colorSeries rgb="FF000000"/>
          <x14:sparklines>
            <x14:sparkline>
              <xm:f>'KW Reserarch'!D214:O214</xm:f>
              <xm:sqref>C214</xm:sqref>
            </x14:sparkline>
          </x14:sparklines>
        </x14:sparklineGroup>
        <x14:sparklineGroup displayEmptyCellsAs="gap" xr2:uid="{00000000-0003-0000-0100-0000AA050000}">
          <x14:colorSeries rgb="FF000000"/>
          <x14:sparklines>
            <x14:sparkline>
              <xm:f>'KW Reserarch'!D215:O215</xm:f>
              <xm:sqref>C215</xm:sqref>
            </x14:sparkline>
          </x14:sparklines>
        </x14:sparklineGroup>
        <x14:sparklineGroup displayEmptyCellsAs="gap" xr2:uid="{00000000-0003-0000-0100-0000AB050000}">
          <x14:colorSeries rgb="FF000000"/>
          <x14:sparklines>
            <x14:sparkline>
              <xm:f>'KW Reserarch'!D216:O216</xm:f>
              <xm:sqref>C216</xm:sqref>
            </x14:sparkline>
          </x14:sparklines>
        </x14:sparklineGroup>
        <x14:sparklineGroup displayEmptyCellsAs="gap" xr2:uid="{00000000-0003-0000-0100-0000AC050000}">
          <x14:colorSeries rgb="FF000000"/>
          <x14:sparklines>
            <x14:sparkline>
              <xm:f>'KW Reserarch'!D217:O217</xm:f>
              <xm:sqref>C217</xm:sqref>
            </x14:sparkline>
          </x14:sparklines>
        </x14:sparklineGroup>
        <x14:sparklineGroup displayEmptyCellsAs="gap" xr2:uid="{00000000-0003-0000-0100-0000AD050000}">
          <x14:colorSeries rgb="FF000000"/>
          <x14:sparklines>
            <x14:sparkline>
              <xm:f>'KW Reserarch'!D218:O218</xm:f>
              <xm:sqref>C218</xm:sqref>
            </x14:sparkline>
          </x14:sparklines>
        </x14:sparklineGroup>
        <x14:sparklineGroup displayEmptyCellsAs="gap" xr2:uid="{00000000-0003-0000-0100-0000AE050000}">
          <x14:colorSeries rgb="FF000000"/>
          <x14:sparklines>
            <x14:sparkline>
              <xm:f>'KW Reserarch'!D219:O219</xm:f>
              <xm:sqref>C219</xm:sqref>
            </x14:sparkline>
          </x14:sparklines>
        </x14:sparklineGroup>
        <x14:sparklineGroup displayEmptyCellsAs="gap" xr2:uid="{00000000-0003-0000-0100-0000AF050000}">
          <x14:colorSeries rgb="FF000000"/>
          <x14:sparklines>
            <x14:sparkline>
              <xm:f>'KW Reserarch'!D220:O220</xm:f>
              <xm:sqref>C220</xm:sqref>
            </x14:sparkline>
          </x14:sparklines>
        </x14:sparklineGroup>
        <x14:sparklineGroup displayEmptyCellsAs="gap" xr2:uid="{00000000-0003-0000-0100-0000B0050000}">
          <x14:colorSeries rgb="FF000000"/>
          <x14:sparklines>
            <x14:sparkline>
              <xm:f>'KW Reserarch'!D221:O221</xm:f>
              <xm:sqref>C221</xm:sqref>
            </x14:sparkline>
          </x14:sparklines>
        </x14:sparklineGroup>
        <x14:sparklineGroup displayEmptyCellsAs="gap" xr2:uid="{00000000-0003-0000-0100-0000B1050000}">
          <x14:colorSeries rgb="FF000000"/>
          <x14:sparklines>
            <x14:sparkline>
              <xm:f>'KW Reserarch'!D222:O222</xm:f>
              <xm:sqref>C222</xm:sqref>
            </x14:sparkline>
          </x14:sparklines>
        </x14:sparklineGroup>
        <x14:sparklineGroup displayEmptyCellsAs="gap" xr2:uid="{00000000-0003-0000-0100-0000B2050000}">
          <x14:colorSeries rgb="FF000000"/>
          <x14:sparklines>
            <x14:sparkline>
              <xm:f>'KW Reserarch'!D223:O223</xm:f>
              <xm:sqref>C223</xm:sqref>
            </x14:sparkline>
          </x14:sparklines>
        </x14:sparklineGroup>
        <x14:sparklineGroup displayEmptyCellsAs="gap" xr2:uid="{00000000-0003-0000-0100-0000B3050000}">
          <x14:colorSeries rgb="FF000000"/>
          <x14:sparklines>
            <x14:sparkline>
              <xm:f>'KW Reserarch'!D224:O224</xm:f>
              <xm:sqref>C224</xm:sqref>
            </x14:sparkline>
          </x14:sparklines>
        </x14:sparklineGroup>
        <x14:sparklineGroup displayEmptyCellsAs="gap" xr2:uid="{00000000-0003-0000-0100-0000B4050000}">
          <x14:colorSeries rgb="FF000000"/>
          <x14:sparklines>
            <x14:sparkline>
              <xm:f>'KW Reserarch'!D225:O225</xm:f>
              <xm:sqref>C225</xm:sqref>
            </x14:sparkline>
          </x14:sparklines>
        </x14:sparklineGroup>
        <x14:sparklineGroup displayEmptyCellsAs="gap" xr2:uid="{00000000-0003-0000-0100-0000B5050000}">
          <x14:colorSeries rgb="FF000000"/>
          <x14:sparklines>
            <x14:sparkline>
              <xm:f>'KW Reserarch'!D226:O226</xm:f>
              <xm:sqref>C226</xm:sqref>
            </x14:sparkline>
          </x14:sparklines>
        </x14:sparklineGroup>
        <x14:sparklineGroup displayEmptyCellsAs="gap" xr2:uid="{00000000-0003-0000-0100-0000B6050000}">
          <x14:colorSeries rgb="FF000000"/>
          <x14:sparklines>
            <x14:sparkline>
              <xm:f>'KW Reserarch'!D227:O227</xm:f>
              <xm:sqref>C227</xm:sqref>
            </x14:sparkline>
          </x14:sparklines>
        </x14:sparklineGroup>
        <x14:sparklineGroup displayEmptyCellsAs="gap" xr2:uid="{00000000-0003-0000-0100-0000B7050000}">
          <x14:colorSeries rgb="FF000000"/>
          <x14:sparklines>
            <x14:sparkline>
              <xm:f>'KW Reserarch'!D228:O228</xm:f>
              <xm:sqref>C228</xm:sqref>
            </x14:sparkline>
          </x14:sparklines>
        </x14:sparklineGroup>
        <x14:sparklineGroup displayEmptyCellsAs="gap" xr2:uid="{00000000-0003-0000-0100-0000B8050000}">
          <x14:colorSeries rgb="FF000000"/>
          <x14:sparklines>
            <x14:sparkline>
              <xm:f>'KW Reserarch'!D229:O229</xm:f>
              <xm:sqref>C229</xm:sqref>
            </x14:sparkline>
          </x14:sparklines>
        </x14:sparklineGroup>
        <x14:sparklineGroup displayEmptyCellsAs="gap" xr2:uid="{00000000-0003-0000-0100-0000B9050000}">
          <x14:colorSeries rgb="FF000000"/>
          <x14:sparklines>
            <x14:sparkline>
              <xm:f>'KW Reserarch'!D230:O230</xm:f>
              <xm:sqref>C230</xm:sqref>
            </x14:sparkline>
          </x14:sparklines>
        </x14:sparklineGroup>
        <x14:sparklineGroup displayEmptyCellsAs="gap" xr2:uid="{00000000-0003-0000-0100-0000BA050000}">
          <x14:colorSeries rgb="FF000000"/>
          <x14:sparklines>
            <x14:sparkline>
              <xm:f>'KW Reserarch'!D231:O231</xm:f>
              <xm:sqref>C231</xm:sqref>
            </x14:sparkline>
          </x14:sparklines>
        </x14:sparklineGroup>
        <x14:sparklineGroup displayEmptyCellsAs="gap" xr2:uid="{00000000-0003-0000-0100-0000BB050000}">
          <x14:colorSeries rgb="FF000000"/>
          <x14:sparklines>
            <x14:sparkline>
              <xm:f>'KW Reserarch'!D232:O232</xm:f>
              <xm:sqref>C232</xm:sqref>
            </x14:sparkline>
          </x14:sparklines>
        </x14:sparklineGroup>
        <x14:sparklineGroup displayEmptyCellsAs="gap" xr2:uid="{00000000-0003-0000-0100-0000BC050000}">
          <x14:colorSeries rgb="FF000000"/>
          <x14:sparklines>
            <x14:sparkline>
              <xm:f>'KW Reserarch'!D233:O233</xm:f>
              <xm:sqref>C233</xm:sqref>
            </x14:sparkline>
          </x14:sparklines>
        </x14:sparklineGroup>
        <x14:sparklineGroup displayEmptyCellsAs="gap" xr2:uid="{00000000-0003-0000-0100-0000BD050000}">
          <x14:colorSeries rgb="FF000000"/>
          <x14:sparklines>
            <x14:sparkline>
              <xm:f>'KW Reserarch'!D234:O234</xm:f>
              <xm:sqref>C234</xm:sqref>
            </x14:sparkline>
          </x14:sparklines>
        </x14:sparklineGroup>
        <x14:sparklineGroup displayEmptyCellsAs="gap" xr2:uid="{00000000-0003-0000-0100-0000BE050000}">
          <x14:colorSeries rgb="FF000000"/>
          <x14:sparklines>
            <x14:sparkline>
              <xm:f>'KW Reserarch'!D235:O235</xm:f>
              <xm:sqref>C235</xm:sqref>
            </x14:sparkline>
          </x14:sparklines>
        </x14:sparklineGroup>
        <x14:sparklineGroup displayEmptyCellsAs="gap" xr2:uid="{00000000-0003-0000-0100-0000BF050000}">
          <x14:colorSeries rgb="FF000000"/>
          <x14:sparklines>
            <x14:sparkline>
              <xm:f>'KW Reserarch'!D236:O236</xm:f>
              <xm:sqref>C236</xm:sqref>
            </x14:sparkline>
          </x14:sparklines>
        </x14:sparklineGroup>
        <x14:sparklineGroup displayEmptyCellsAs="gap" xr2:uid="{00000000-0003-0000-0100-0000C0050000}">
          <x14:colorSeries rgb="FF000000"/>
          <x14:sparklines>
            <x14:sparkline>
              <xm:f>'KW Reserarch'!D237:O237</xm:f>
              <xm:sqref>C237</xm:sqref>
            </x14:sparkline>
          </x14:sparklines>
        </x14:sparklineGroup>
        <x14:sparklineGroup displayEmptyCellsAs="gap" xr2:uid="{00000000-0003-0000-0100-0000C1050000}">
          <x14:colorSeries rgb="FF000000"/>
          <x14:sparklines>
            <x14:sparkline>
              <xm:f>'KW Reserarch'!D238:O238</xm:f>
              <xm:sqref>C238</xm:sqref>
            </x14:sparkline>
          </x14:sparklines>
        </x14:sparklineGroup>
        <x14:sparklineGroup displayEmptyCellsAs="gap" xr2:uid="{00000000-0003-0000-0100-0000C2050000}">
          <x14:colorSeries rgb="FF000000"/>
          <x14:sparklines>
            <x14:sparkline>
              <xm:f>'KW Reserarch'!D239:O239</xm:f>
              <xm:sqref>C239</xm:sqref>
            </x14:sparkline>
          </x14:sparklines>
        </x14:sparklineGroup>
        <x14:sparklineGroup displayEmptyCellsAs="gap" xr2:uid="{00000000-0003-0000-0100-0000C3050000}">
          <x14:colorSeries rgb="FF000000"/>
          <x14:sparklines>
            <x14:sparkline>
              <xm:f>'KW Reserarch'!D240:O240</xm:f>
              <xm:sqref>C240</xm:sqref>
            </x14:sparkline>
          </x14:sparklines>
        </x14:sparklineGroup>
        <x14:sparklineGroup displayEmptyCellsAs="gap" xr2:uid="{00000000-0003-0000-0100-0000C4050000}">
          <x14:colorSeries rgb="FF000000"/>
          <x14:sparklines>
            <x14:sparkline>
              <xm:f>'KW Reserarch'!D241:O241</xm:f>
              <xm:sqref>C241</xm:sqref>
            </x14:sparkline>
          </x14:sparklines>
        </x14:sparklineGroup>
        <x14:sparklineGroup displayEmptyCellsAs="gap" xr2:uid="{00000000-0003-0000-0100-0000C5050000}">
          <x14:colorSeries rgb="FF000000"/>
          <x14:sparklines>
            <x14:sparkline>
              <xm:f>'KW Reserarch'!D242:O242</xm:f>
              <xm:sqref>C242</xm:sqref>
            </x14:sparkline>
          </x14:sparklines>
        </x14:sparklineGroup>
        <x14:sparklineGroup displayEmptyCellsAs="gap" xr2:uid="{00000000-0003-0000-0100-0000C6050000}">
          <x14:colorSeries rgb="FF000000"/>
          <x14:sparklines>
            <x14:sparkline>
              <xm:f>'KW Reserarch'!D243:O243</xm:f>
              <xm:sqref>C243</xm:sqref>
            </x14:sparkline>
          </x14:sparklines>
        </x14:sparklineGroup>
        <x14:sparklineGroup displayEmptyCellsAs="gap" xr2:uid="{00000000-0003-0000-0100-0000C7050000}">
          <x14:colorSeries rgb="FF000000"/>
          <x14:sparklines>
            <x14:sparkline>
              <xm:f>'KW Reserarch'!D244:O244</xm:f>
              <xm:sqref>C244</xm:sqref>
            </x14:sparkline>
          </x14:sparklines>
        </x14:sparklineGroup>
        <x14:sparklineGroup displayEmptyCellsAs="gap" xr2:uid="{00000000-0003-0000-0100-0000C8050000}">
          <x14:colorSeries rgb="FF000000"/>
          <x14:sparklines>
            <x14:sparkline>
              <xm:f>'KW Reserarch'!D245:O245</xm:f>
              <xm:sqref>C245</xm:sqref>
            </x14:sparkline>
          </x14:sparklines>
        </x14:sparklineGroup>
        <x14:sparklineGroup displayEmptyCellsAs="gap" xr2:uid="{00000000-0003-0000-0100-0000C9050000}">
          <x14:colorSeries rgb="FF000000"/>
          <x14:sparklines>
            <x14:sparkline>
              <xm:f>'KW Reserarch'!D246:O246</xm:f>
              <xm:sqref>C246</xm:sqref>
            </x14:sparkline>
          </x14:sparklines>
        </x14:sparklineGroup>
        <x14:sparklineGroup displayEmptyCellsAs="gap" xr2:uid="{00000000-0003-0000-0100-0000CA050000}">
          <x14:colorSeries rgb="FF000000"/>
          <x14:sparklines>
            <x14:sparkline>
              <xm:f>'KW Reserarch'!D247:O247</xm:f>
              <xm:sqref>C247</xm:sqref>
            </x14:sparkline>
          </x14:sparklines>
        </x14:sparklineGroup>
        <x14:sparklineGroup displayEmptyCellsAs="gap" xr2:uid="{00000000-0003-0000-0100-0000CB050000}">
          <x14:colorSeries rgb="FF000000"/>
          <x14:sparklines>
            <x14:sparkline>
              <xm:f>'KW Reserarch'!D248:O248</xm:f>
              <xm:sqref>C248</xm:sqref>
            </x14:sparkline>
          </x14:sparklines>
        </x14:sparklineGroup>
        <x14:sparklineGroup displayEmptyCellsAs="gap" xr2:uid="{00000000-0003-0000-0100-0000CC050000}">
          <x14:colorSeries rgb="FF000000"/>
          <x14:sparklines>
            <x14:sparkline>
              <xm:f>'KW Reserarch'!D249:O249</xm:f>
              <xm:sqref>C249</xm:sqref>
            </x14:sparkline>
          </x14:sparklines>
        </x14:sparklineGroup>
        <x14:sparklineGroup displayEmptyCellsAs="gap" xr2:uid="{00000000-0003-0000-0100-0000CD050000}">
          <x14:colorSeries rgb="FF000000"/>
          <x14:sparklines>
            <x14:sparkline>
              <xm:f>'KW Reserarch'!D250:O250</xm:f>
              <xm:sqref>C250</xm:sqref>
            </x14:sparkline>
          </x14:sparklines>
        </x14:sparklineGroup>
        <x14:sparklineGroup displayEmptyCellsAs="gap" xr2:uid="{00000000-0003-0000-0100-0000CE050000}">
          <x14:colorSeries rgb="FF000000"/>
          <x14:sparklines>
            <x14:sparkline>
              <xm:f>'KW Reserarch'!D251:O251</xm:f>
              <xm:sqref>C251</xm:sqref>
            </x14:sparkline>
          </x14:sparklines>
        </x14:sparklineGroup>
        <x14:sparklineGroup displayEmptyCellsAs="gap" xr2:uid="{00000000-0003-0000-0100-0000CF050000}">
          <x14:colorSeries rgb="FF000000"/>
          <x14:sparklines>
            <x14:sparkline>
              <xm:f>'KW Reserarch'!D252:O252</xm:f>
              <xm:sqref>C252</xm:sqref>
            </x14:sparkline>
          </x14:sparklines>
        </x14:sparklineGroup>
        <x14:sparklineGroup displayEmptyCellsAs="gap" xr2:uid="{00000000-0003-0000-0100-0000D0050000}">
          <x14:colorSeries rgb="FF000000"/>
          <x14:sparklines>
            <x14:sparkline>
              <xm:f>'KW Reserarch'!D253:O253</xm:f>
              <xm:sqref>C253</xm:sqref>
            </x14:sparkline>
          </x14:sparklines>
        </x14:sparklineGroup>
        <x14:sparklineGroup displayEmptyCellsAs="gap" xr2:uid="{00000000-0003-0000-0100-0000D1050000}">
          <x14:colorSeries rgb="FF000000"/>
          <x14:sparklines>
            <x14:sparkline>
              <xm:f>'KW Reserarch'!D254:O254</xm:f>
              <xm:sqref>C254</xm:sqref>
            </x14:sparkline>
          </x14:sparklines>
        </x14:sparklineGroup>
        <x14:sparklineGroup displayEmptyCellsAs="gap" xr2:uid="{00000000-0003-0000-0100-0000D2050000}">
          <x14:colorSeries rgb="FF000000"/>
          <x14:sparklines>
            <x14:sparkline>
              <xm:f>'KW Reserarch'!D255:O255</xm:f>
              <xm:sqref>C255</xm:sqref>
            </x14:sparkline>
          </x14:sparklines>
        </x14:sparklineGroup>
        <x14:sparklineGroup displayEmptyCellsAs="gap" xr2:uid="{00000000-0003-0000-0100-0000D3050000}">
          <x14:colorSeries rgb="FF000000"/>
          <x14:sparklines>
            <x14:sparkline>
              <xm:f>'KW Reserarch'!D256:O256</xm:f>
              <xm:sqref>C256</xm:sqref>
            </x14:sparkline>
          </x14:sparklines>
        </x14:sparklineGroup>
        <x14:sparklineGroup displayEmptyCellsAs="gap" xr2:uid="{00000000-0003-0000-0100-0000D4050000}">
          <x14:colorSeries rgb="FF000000"/>
          <x14:sparklines>
            <x14:sparkline>
              <xm:f>'KW Reserarch'!D257:O257</xm:f>
              <xm:sqref>C257</xm:sqref>
            </x14:sparkline>
          </x14:sparklines>
        </x14:sparklineGroup>
        <x14:sparklineGroup displayEmptyCellsAs="gap" xr2:uid="{00000000-0003-0000-0100-0000D5050000}">
          <x14:colorSeries rgb="FF000000"/>
          <x14:sparklines>
            <x14:sparkline>
              <xm:f>'KW Reserarch'!D258:O258</xm:f>
              <xm:sqref>C258</xm:sqref>
            </x14:sparkline>
          </x14:sparklines>
        </x14:sparklineGroup>
        <x14:sparklineGroup displayEmptyCellsAs="gap" xr2:uid="{00000000-0003-0000-0100-0000D6050000}">
          <x14:colorSeries rgb="FF000000"/>
          <x14:sparklines>
            <x14:sparkline>
              <xm:f>'KW Reserarch'!D259:O259</xm:f>
              <xm:sqref>C259</xm:sqref>
            </x14:sparkline>
          </x14:sparklines>
        </x14:sparklineGroup>
        <x14:sparklineGroup displayEmptyCellsAs="gap" xr2:uid="{00000000-0003-0000-0100-0000D7050000}">
          <x14:colorSeries rgb="FF000000"/>
          <x14:sparklines>
            <x14:sparkline>
              <xm:f>'KW Reserarch'!D260:O260</xm:f>
              <xm:sqref>C260</xm:sqref>
            </x14:sparkline>
          </x14:sparklines>
        </x14:sparklineGroup>
        <x14:sparklineGroup displayEmptyCellsAs="gap" xr2:uid="{00000000-0003-0000-0100-0000D8050000}">
          <x14:colorSeries rgb="FF000000"/>
          <x14:sparklines>
            <x14:sparkline>
              <xm:f>'KW Reserarch'!D261:O261</xm:f>
              <xm:sqref>C261</xm:sqref>
            </x14:sparkline>
          </x14:sparklines>
        </x14:sparklineGroup>
        <x14:sparklineGroup displayEmptyCellsAs="gap" xr2:uid="{00000000-0003-0000-0100-0000D9050000}">
          <x14:colorSeries rgb="FF000000"/>
          <x14:sparklines>
            <x14:sparkline>
              <xm:f>'KW Reserarch'!D262:O262</xm:f>
              <xm:sqref>C262</xm:sqref>
            </x14:sparkline>
          </x14:sparklines>
        </x14:sparklineGroup>
        <x14:sparklineGroup displayEmptyCellsAs="gap" xr2:uid="{00000000-0003-0000-0100-0000DA050000}">
          <x14:colorSeries rgb="FF000000"/>
          <x14:sparklines>
            <x14:sparkline>
              <xm:f>'KW Reserarch'!D263:O263</xm:f>
              <xm:sqref>C263</xm:sqref>
            </x14:sparkline>
          </x14:sparklines>
        </x14:sparklineGroup>
        <x14:sparklineGroup displayEmptyCellsAs="gap" xr2:uid="{00000000-0003-0000-0100-0000DB050000}">
          <x14:colorSeries rgb="FF000000"/>
          <x14:sparklines>
            <x14:sparkline>
              <xm:f>'KW Reserarch'!D264:O264</xm:f>
              <xm:sqref>C264</xm:sqref>
            </x14:sparkline>
          </x14:sparklines>
        </x14:sparklineGroup>
        <x14:sparklineGroup displayEmptyCellsAs="gap" xr2:uid="{00000000-0003-0000-0100-0000DC050000}">
          <x14:colorSeries rgb="FF000000"/>
          <x14:sparklines>
            <x14:sparkline>
              <xm:f>'KW Reserarch'!D265:O265</xm:f>
              <xm:sqref>C265</xm:sqref>
            </x14:sparkline>
          </x14:sparklines>
        </x14:sparklineGroup>
        <x14:sparklineGroup displayEmptyCellsAs="gap" xr2:uid="{00000000-0003-0000-0100-0000DD050000}">
          <x14:colorSeries rgb="FF000000"/>
          <x14:sparklines>
            <x14:sparkline>
              <xm:f>'KW Reserarch'!D266:O266</xm:f>
              <xm:sqref>C266</xm:sqref>
            </x14:sparkline>
          </x14:sparklines>
        </x14:sparklineGroup>
        <x14:sparklineGroup displayEmptyCellsAs="gap" xr2:uid="{00000000-0003-0000-0100-0000DE050000}">
          <x14:colorSeries rgb="FF000000"/>
          <x14:sparklines>
            <x14:sparkline>
              <xm:f>'KW Reserarch'!D267:O267</xm:f>
              <xm:sqref>C267</xm:sqref>
            </x14:sparkline>
          </x14:sparklines>
        </x14:sparklineGroup>
        <x14:sparklineGroup displayEmptyCellsAs="gap" xr2:uid="{00000000-0003-0000-0100-0000DF050000}">
          <x14:colorSeries rgb="FF000000"/>
          <x14:sparklines>
            <x14:sparkline>
              <xm:f>'KW Reserarch'!D268:O268</xm:f>
              <xm:sqref>C268</xm:sqref>
            </x14:sparkline>
          </x14:sparklines>
        </x14:sparklineGroup>
        <x14:sparklineGroup displayEmptyCellsAs="gap" xr2:uid="{00000000-0003-0000-0100-0000E0050000}">
          <x14:colorSeries rgb="FF000000"/>
          <x14:sparklines>
            <x14:sparkline>
              <xm:f>'KW Reserarch'!D269:O269</xm:f>
              <xm:sqref>C269</xm:sqref>
            </x14:sparkline>
          </x14:sparklines>
        </x14:sparklineGroup>
        <x14:sparklineGroup displayEmptyCellsAs="gap" xr2:uid="{00000000-0003-0000-0100-0000E1050000}">
          <x14:colorSeries rgb="FF000000"/>
          <x14:sparklines>
            <x14:sparkline>
              <xm:f>'KW Reserarch'!D270:O270</xm:f>
              <xm:sqref>C270</xm:sqref>
            </x14:sparkline>
          </x14:sparklines>
        </x14:sparklineGroup>
        <x14:sparklineGroup displayEmptyCellsAs="gap" xr2:uid="{00000000-0003-0000-0100-0000E2050000}">
          <x14:colorSeries rgb="FF000000"/>
          <x14:sparklines>
            <x14:sparkline>
              <xm:f>'KW Reserarch'!D271:O271</xm:f>
              <xm:sqref>C271</xm:sqref>
            </x14:sparkline>
          </x14:sparklines>
        </x14:sparklineGroup>
        <x14:sparklineGroup displayEmptyCellsAs="gap" xr2:uid="{00000000-0003-0000-0100-0000E3050000}">
          <x14:colorSeries rgb="FF000000"/>
          <x14:sparklines>
            <x14:sparkline>
              <xm:f>'KW Reserarch'!D272:O272</xm:f>
              <xm:sqref>C272</xm:sqref>
            </x14:sparkline>
          </x14:sparklines>
        </x14:sparklineGroup>
        <x14:sparklineGroup displayEmptyCellsAs="gap" xr2:uid="{00000000-0003-0000-0100-0000E4050000}">
          <x14:colorSeries rgb="FF000000"/>
          <x14:sparklines>
            <x14:sparkline>
              <xm:f>'KW Reserarch'!D273:O273</xm:f>
              <xm:sqref>C273</xm:sqref>
            </x14:sparkline>
          </x14:sparklines>
        </x14:sparklineGroup>
        <x14:sparklineGroup displayEmptyCellsAs="gap" xr2:uid="{00000000-0003-0000-0100-0000E5050000}">
          <x14:colorSeries rgb="FF000000"/>
          <x14:sparklines>
            <x14:sparkline>
              <xm:f>'KW Reserarch'!D274:O274</xm:f>
              <xm:sqref>C274</xm:sqref>
            </x14:sparkline>
          </x14:sparklines>
        </x14:sparklineGroup>
        <x14:sparklineGroup displayEmptyCellsAs="gap" xr2:uid="{00000000-0003-0000-0100-0000E6050000}">
          <x14:colorSeries rgb="FF000000"/>
          <x14:sparklines>
            <x14:sparkline>
              <xm:f>'KW Reserarch'!D275:O275</xm:f>
              <xm:sqref>C275</xm:sqref>
            </x14:sparkline>
          </x14:sparklines>
        </x14:sparklineGroup>
        <x14:sparklineGroup displayEmptyCellsAs="gap" xr2:uid="{00000000-0003-0000-0100-0000E7050000}">
          <x14:colorSeries rgb="FF000000"/>
          <x14:sparklines>
            <x14:sparkline>
              <xm:f>'KW Reserarch'!D276:O276</xm:f>
              <xm:sqref>C276</xm:sqref>
            </x14:sparkline>
          </x14:sparklines>
        </x14:sparklineGroup>
        <x14:sparklineGroup displayEmptyCellsAs="gap" xr2:uid="{00000000-0003-0000-0100-0000E8050000}">
          <x14:colorSeries rgb="FF000000"/>
          <x14:sparklines>
            <x14:sparkline>
              <xm:f>'KW Reserarch'!D277:O277</xm:f>
              <xm:sqref>C277</xm:sqref>
            </x14:sparkline>
          </x14:sparklines>
        </x14:sparklineGroup>
        <x14:sparklineGroup displayEmptyCellsAs="gap" xr2:uid="{00000000-0003-0000-0100-0000E9050000}">
          <x14:colorSeries rgb="FF000000"/>
          <x14:sparklines>
            <x14:sparkline>
              <xm:f>'KW Reserarch'!D278:O278</xm:f>
              <xm:sqref>C278</xm:sqref>
            </x14:sparkline>
          </x14:sparklines>
        </x14:sparklineGroup>
        <x14:sparklineGroup displayEmptyCellsAs="gap" xr2:uid="{00000000-0003-0000-0100-0000EA050000}">
          <x14:colorSeries rgb="FF000000"/>
          <x14:sparklines>
            <x14:sparkline>
              <xm:f>'KW Reserarch'!D279:O279</xm:f>
              <xm:sqref>C279</xm:sqref>
            </x14:sparkline>
          </x14:sparklines>
        </x14:sparklineGroup>
        <x14:sparklineGroup displayEmptyCellsAs="gap" xr2:uid="{00000000-0003-0000-0100-0000EB050000}">
          <x14:colorSeries rgb="FF000000"/>
          <x14:sparklines>
            <x14:sparkline>
              <xm:f>'KW Reserarch'!D280:O280</xm:f>
              <xm:sqref>C280</xm:sqref>
            </x14:sparkline>
          </x14:sparklines>
        </x14:sparklineGroup>
        <x14:sparklineGroup displayEmptyCellsAs="gap" xr2:uid="{00000000-0003-0000-0100-0000EC050000}">
          <x14:colorSeries rgb="FF000000"/>
          <x14:sparklines>
            <x14:sparkline>
              <xm:f>'KW Reserarch'!D281:O281</xm:f>
              <xm:sqref>C281</xm:sqref>
            </x14:sparkline>
          </x14:sparklines>
        </x14:sparklineGroup>
        <x14:sparklineGroup displayEmptyCellsAs="gap" xr2:uid="{00000000-0003-0000-0100-0000ED050000}">
          <x14:colorSeries rgb="FF000000"/>
          <x14:sparklines>
            <x14:sparkline>
              <xm:f>'KW Reserarch'!D282:O282</xm:f>
              <xm:sqref>C282</xm:sqref>
            </x14:sparkline>
          </x14:sparklines>
        </x14:sparklineGroup>
        <x14:sparklineGroup displayEmptyCellsAs="gap" xr2:uid="{00000000-0003-0000-0100-0000EE050000}">
          <x14:colorSeries rgb="FF000000"/>
          <x14:sparklines>
            <x14:sparkline>
              <xm:f>'KW Reserarch'!D283:O283</xm:f>
              <xm:sqref>C283</xm:sqref>
            </x14:sparkline>
          </x14:sparklines>
        </x14:sparklineGroup>
        <x14:sparklineGroup displayEmptyCellsAs="gap" xr2:uid="{00000000-0003-0000-0100-0000EF050000}">
          <x14:colorSeries rgb="FF000000"/>
          <x14:sparklines>
            <x14:sparkline>
              <xm:f>'KW Reserarch'!D284:O284</xm:f>
              <xm:sqref>C284</xm:sqref>
            </x14:sparkline>
          </x14:sparklines>
        </x14:sparklineGroup>
        <x14:sparklineGroup displayEmptyCellsAs="gap" xr2:uid="{00000000-0003-0000-0100-0000F0050000}">
          <x14:colorSeries rgb="FF000000"/>
          <x14:sparklines>
            <x14:sparkline>
              <xm:f>'KW Reserarch'!D285:O285</xm:f>
              <xm:sqref>C285</xm:sqref>
            </x14:sparkline>
          </x14:sparklines>
        </x14:sparklineGroup>
        <x14:sparklineGroup displayEmptyCellsAs="gap" xr2:uid="{00000000-0003-0000-0100-0000F1050000}">
          <x14:colorSeries rgb="FF000000"/>
          <x14:sparklines>
            <x14:sparkline>
              <xm:f>'KW Reserarch'!D286:O286</xm:f>
              <xm:sqref>C286</xm:sqref>
            </x14:sparkline>
          </x14:sparklines>
        </x14:sparklineGroup>
        <x14:sparklineGroup displayEmptyCellsAs="gap" xr2:uid="{00000000-0003-0000-0100-0000F2050000}">
          <x14:colorSeries rgb="FF000000"/>
          <x14:sparklines>
            <x14:sparkline>
              <xm:f>'KW Reserarch'!D287:O287</xm:f>
              <xm:sqref>C287</xm:sqref>
            </x14:sparkline>
          </x14:sparklines>
        </x14:sparklineGroup>
        <x14:sparklineGroup displayEmptyCellsAs="gap" xr2:uid="{00000000-0003-0000-0100-0000F3050000}">
          <x14:colorSeries rgb="FF000000"/>
          <x14:sparklines>
            <x14:sparkline>
              <xm:f>'KW Reserarch'!D288:O288</xm:f>
              <xm:sqref>C288</xm:sqref>
            </x14:sparkline>
          </x14:sparklines>
        </x14:sparklineGroup>
        <x14:sparklineGroup displayEmptyCellsAs="gap" xr2:uid="{00000000-0003-0000-0100-0000F4050000}">
          <x14:colorSeries rgb="FF000000"/>
          <x14:sparklines>
            <x14:sparkline>
              <xm:f>'KW Reserarch'!D289:O289</xm:f>
              <xm:sqref>C289</xm:sqref>
            </x14:sparkline>
          </x14:sparklines>
        </x14:sparklineGroup>
        <x14:sparklineGroup displayEmptyCellsAs="gap" xr2:uid="{00000000-0003-0000-0100-0000F5050000}">
          <x14:colorSeries rgb="FF000000"/>
          <x14:sparklines>
            <x14:sparkline>
              <xm:f>'KW Reserarch'!D290:O290</xm:f>
              <xm:sqref>C290</xm:sqref>
            </x14:sparkline>
          </x14:sparklines>
        </x14:sparklineGroup>
        <x14:sparklineGroup displayEmptyCellsAs="gap" xr2:uid="{00000000-0003-0000-0100-0000F6050000}">
          <x14:colorSeries rgb="FF000000"/>
          <x14:sparklines>
            <x14:sparkline>
              <xm:f>'KW Reserarch'!D291:O291</xm:f>
              <xm:sqref>C291</xm:sqref>
            </x14:sparkline>
          </x14:sparklines>
        </x14:sparklineGroup>
        <x14:sparklineGroup displayEmptyCellsAs="gap" xr2:uid="{00000000-0003-0000-0100-0000F7050000}">
          <x14:colorSeries rgb="FF000000"/>
          <x14:sparklines>
            <x14:sparkline>
              <xm:f>'KW Reserarch'!D292:O292</xm:f>
              <xm:sqref>C292</xm:sqref>
            </x14:sparkline>
          </x14:sparklines>
        </x14:sparklineGroup>
        <x14:sparklineGroup displayEmptyCellsAs="gap" xr2:uid="{00000000-0003-0000-0100-0000F8050000}">
          <x14:colorSeries rgb="FF000000"/>
          <x14:sparklines>
            <x14:sparkline>
              <xm:f>'KW Reserarch'!D293:O293</xm:f>
              <xm:sqref>C293</xm:sqref>
            </x14:sparkline>
          </x14:sparklines>
        </x14:sparklineGroup>
        <x14:sparklineGroup displayEmptyCellsAs="gap" xr2:uid="{00000000-0003-0000-0100-0000F9050000}">
          <x14:colorSeries rgb="FF000000"/>
          <x14:sparklines>
            <x14:sparkline>
              <xm:f>'KW Reserarch'!D294:O294</xm:f>
              <xm:sqref>C294</xm:sqref>
            </x14:sparkline>
          </x14:sparklines>
        </x14:sparklineGroup>
        <x14:sparklineGroup displayEmptyCellsAs="gap" xr2:uid="{00000000-0003-0000-0100-0000FA050000}">
          <x14:colorSeries rgb="FF000000"/>
          <x14:sparklines>
            <x14:sparkline>
              <xm:f>'KW Reserarch'!D295:O295</xm:f>
              <xm:sqref>C295</xm:sqref>
            </x14:sparkline>
          </x14:sparklines>
        </x14:sparklineGroup>
        <x14:sparklineGroup displayEmptyCellsAs="gap" xr2:uid="{00000000-0003-0000-0100-0000FB050000}">
          <x14:colorSeries rgb="FF000000"/>
          <x14:sparklines>
            <x14:sparkline>
              <xm:f>'KW Reserarch'!D296:O296</xm:f>
              <xm:sqref>C296</xm:sqref>
            </x14:sparkline>
          </x14:sparklines>
        </x14:sparklineGroup>
        <x14:sparklineGroup displayEmptyCellsAs="gap" xr2:uid="{00000000-0003-0000-0100-0000FC050000}">
          <x14:colorSeries rgb="FF000000"/>
          <x14:sparklines>
            <x14:sparkline>
              <xm:f>'KW Reserarch'!D297:O297</xm:f>
              <xm:sqref>C297</xm:sqref>
            </x14:sparkline>
          </x14:sparklines>
        </x14:sparklineGroup>
        <x14:sparklineGroup displayEmptyCellsAs="gap" xr2:uid="{00000000-0003-0000-0100-0000FD050000}">
          <x14:colorSeries rgb="FF000000"/>
          <x14:sparklines>
            <x14:sparkline>
              <xm:f>'KW Reserarch'!D298:O298</xm:f>
              <xm:sqref>C298</xm:sqref>
            </x14:sparkline>
          </x14:sparklines>
        </x14:sparklineGroup>
        <x14:sparklineGroup displayEmptyCellsAs="gap" xr2:uid="{00000000-0003-0000-0100-0000FE050000}">
          <x14:colorSeries rgb="FF000000"/>
          <x14:sparklines>
            <x14:sparkline>
              <xm:f>'KW Reserarch'!D299:O299</xm:f>
              <xm:sqref>C299</xm:sqref>
            </x14:sparkline>
          </x14:sparklines>
        </x14:sparklineGroup>
        <x14:sparklineGroup displayEmptyCellsAs="gap" xr2:uid="{00000000-0003-0000-0100-0000FF050000}">
          <x14:colorSeries rgb="FF000000"/>
          <x14:sparklines>
            <x14:sparkline>
              <xm:f>'KW Reserarch'!D300:O300</xm:f>
              <xm:sqref>C300</xm:sqref>
            </x14:sparkline>
          </x14:sparklines>
        </x14:sparklineGroup>
        <x14:sparklineGroup displayEmptyCellsAs="gap" xr2:uid="{00000000-0003-0000-0100-000000060000}">
          <x14:colorSeries rgb="FF000000"/>
          <x14:sparklines>
            <x14:sparkline>
              <xm:f>'KW Reserarch'!D301:O301</xm:f>
              <xm:sqref>C301</xm:sqref>
            </x14:sparkline>
          </x14:sparklines>
        </x14:sparklineGroup>
        <x14:sparklineGroup displayEmptyCellsAs="gap" xr2:uid="{00000000-0003-0000-0100-000001060000}">
          <x14:colorSeries rgb="FF000000"/>
          <x14:sparklines>
            <x14:sparkline>
              <xm:f>'KW Reserarch'!D302:O302</xm:f>
              <xm:sqref>C302</xm:sqref>
            </x14:sparkline>
          </x14:sparklines>
        </x14:sparklineGroup>
        <x14:sparklineGroup displayEmptyCellsAs="gap" xr2:uid="{00000000-0003-0000-0100-000002060000}">
          <x14:colorSeries rgb="FF000000"/>
          <x14:sparklines>
            <x14:sparkline>
              <xm:f>'KW Reserarch'!D303:O303</xm:f>
              <xm:sqref>C303</xm:sqref>
            </x14:sparkline>
          </x14:sparklines>
        </x14:sparklineGroup>
        <x14:sparklineGroup displayEmptyCellsAs="gap" xr2:uid="{00000000-0003-0000-0100-000003060000}">
          <x14:colorSeries rgb="FF000000"/>
          <x14:sparklines>
            <x14:sparkline>
              <xm:f>'KW Reserarch'!D304:O304</xm:f>
              <xm:sqref>C304</xm:sqref>
            </x14:sparkline>
          </x14:sparklines>
        </x14:sparklineGroup>
        <x14:sparklineGroup displayEmptyCellsAs="gap" xr2:uid="{00000000-0003-0000-0100-000004060000}">
          <x14:colorSeries rgb="FF000000"/>
          <x14:sparklines>
            <x14:sparkline>
              <xm:f>'KW Reserarch'!D305:O305</xm:f>
              <xm:sqref>C305</xm:sqref>
            </x14:sparkline>
          </x14:sparklines>
        </x14:sparklineGroup>
        <x14:sparklineGroup displayEmptyCellsAs="gap" xr2:uid="{00000000-0003-0000-0100-000005060000}">
          <x14:colorSeries rgb="FF000000"/>
          <x14:sparklines>
            <x14:sparkline>
              <xm:f>'KW Reserarch'!D306:O306</xm:f>
              <xm:sqref>C306</xm:sqref>
            </x14:sparkline>
          </x14:sparklines>
        </x14:sparklineGroup>
        <x14:sparklineGroup displayEmptyCellsAs="gap" xr2:uid="{00000000-0003-0000-0100-000006060000}">
          <x14:colorSeries rgb="FF000000"/>
          <x14:sparklines>
            <x14:sparkline>
              <xm:f>'KW Reserarch'!D307:O307</xm:f>
              <xm:sqref>C307</xm:sqref>
            </x14:sparkline>
          </x14:sparklines>
        </x14:sparklineGroup>
        <x14:sparklineGroup displayEmptyCellsAs="gap" xr2:uid="{00000000-0003-0000-0100-000007060000}">
          <x14:colorSeries rgb="FF000000"/>
          <x14:sparklines>
            <x14:sparkline>
              <xm:f>'KW Reserarch'!D308:O308</xm:f>
              <xm:sqref>C308</xm:sqref>
            </x14:sparkline>
          </x14:sparklines>
        </x14:sparklineGroup>
        <x14:sparklineGroup displayEmptyCellsAs="gap" xr2:uid="{00000000-0003-0000-0100-000008060000}">
          <x14:colorSeries rgb="FF000000"/>
          <x14:sparklines>
            <x14:sparkline>
              <xm:f>'KW Reserarch'!D309:O309</xm:f>
              <xm:sqref>C309</xm:sqref>
            </x14:sparkline>
          </x14:sparklines>
        </x14:sparklineGroup>
        <x14:sparklineGroup displayEmptyCellsAs="gap" xr2:uid="{00000000-0003-0000-0100-000009060000}">
          <x14:colorSeries rgb="FF000000"/>
          <x14:sparklines>
            <x14:sparkline>
              <xm:f>'KW Reserarch'!D310:O310</xm:f>
              <xm:sqref>C310</xm:sqref>
            </x14:sparkline>
          </x14:sparklines>
        </x14:sparklineGroup>
        <x14:sparklineGroup displayEmptyCellsAs="gap" xr2:uid="{00000000-0003-0000-0100-00000A060000}">
          <x14:colorSeries rgb="FF000000"/>
          <x14:sparklines>
            <x14:sparkline>
              <xm:f>'KW Reserarch'!D311:O311</xm:f>
              <xm:sqref>C311</xm:sqref>
            </x14:sparkline>
          </x14:sparklines>
        </x14:sparklineGroup>
        <x14:sparklineGroup displayEmptyCellsAs="gap" xr2:uid="{00000000-0003-0000-0100-00000B060000}">
          <x14:colorSeries rgb="FF000000"/>
          <x14:sparklines>
            <x14:sparkline>
              <xm:f>'KW Reserarch'!D312:O312</xm:f>
              <xm:sqref>C312</xm:sqref>
            </x14:sparkline>
          </x14:sparklines>
        </x14:sparklineGroup>
        <x14:sparklineGroup displayEmptyCellsAs="gap" xr2:uid="{00000000-0003-0000-0100-00000C060000}">
          <x14:colorSeries rgb="FF000000"/>
          <x14:sparklines>
            <x14:sparkline>
              <xm:f>'KW Reserarch'!D313:O313</xm:f>
              <xm:sqref>C313</xm:sqref>
            </x14:sparkline>
          </x14:sparklines>
        </x14:sparklineGroup>
        <x14:sparklineGroup displayEmptyCellsAs="gap" xr2:uid="{00000000-0003-0000-0100-00000D060000}">
          <x14:colorSeries rgb="FF000000"/>
          <x14:sparklines>
            <x14:sparkline>
              <xm:f>'KW Reserarch'!D314:O314</xm:f>
              <xm:sqref>C314</xm:sqref>
            </x14:sparkline>
          </x14:sparklines>
        </x14:sparklineGroup>
        <x14:sparklineGroup displayEmptyCellsAs="gap" xr2:uid="{00000000-0003-0000-0100-00000E060000}">
          <x14:colorSeries rgb="FF000000"/>
          <x14:sparklines>
            <x14:sparkline>
              <xm:f>'KW Reserarch'!D315:O315</xm:f>
              <xm:sqref>C315</xm:sqref>
            </x14:sparkline>
          </x14:sparklines>
        </x14:sparklineGroup>
        <x14:sparklineGroup displayEmptyCellsAs="gap" xr2:uid="{00000000-0003-0000-0100-00000F060000}">
          <x14:colorSeries rgb="FF000000"/>
          <x14:sparklines>
            <x14:sparkline>
              <xm:f>'KW Reserarch'!D316:O316</xm:f>
              <xm:sqref>C316</xm:sqref>
            </x14:sparkline>
          </x14:sparklines>
        </x14:sparklineGroup>
        <x14:sparklineGroup displayEmptyCellsAs="gap" xr2:uid="{00000000-0003-0000-0100-000010060000}">
          <x14:colorSeries rgb="FF000000"/>
          <x14:sparklines>
            <x14:sparkline>
              <xm:f>'KW Reserarch'!D317:O317</xm:f>
              <xm:sqref>C317</xm:sqref>
            </x14:sparkline>
          </x14:sparklines>
        </x14:sparklineGroup>
        <x14:sparklineGroup displayEmptyCellsAs="gap" xr2:uid="{00000000-0003-0000-0100-000011060000}">
          <x14:colorSeries rgb="FF000000"/>
          <x14:sparklines>
            <x14:sparkline>
              <xm:f>'KW Reserarch'!D318:O318</xm:f>
              <xm:sqref>C318</xm:sqref>
            </x14:sparkline>
          </x14:sparklines>
        </x14:sparklineGroup>
        <x14:sparklineGroup displayEmptyCellsAs="gap" xr2:uid="{00000000-0003-0000-0100-000012060000}">
          <x14:colorSeries rgb="FF000000"/>
          <x14:sparklines>
            <x14:sparkline>
              <xm:f>'KW Reserarch'!D319:O319</xm:f>
              <xm:sqref>C319</xm:sqref>
            </x14:sparkline>
          </x14:sparklines>
        </x14:sparklineGroup>
        <x14:sparklineGroup displayEmptyCellsAs="gap" xr2:uid="{00000000-0003-0000-0100-000013060000}">
          <x14:colorSeries rgb="FF000000"/>
          <x14:sparklines>
            <x14:sparkline>
              <xm:f>'KW Reserarch'!D320:O320</xm:f>
              <xm:sqref>C320</xm:sqref>
            </x14:sparkline>
          </x14:sparklines>
        </x14:sparklineGroup>
        <x14:sparklineGroup displayEmptyCellsAs="gap" xr2:uid="{00000000-0003-0000-0100-000014060000}">
          <x14:colorSeries rgb="FF000000"/>
          <x14:sparklines>
            <x14:sparkline>
              <xm:f>'KW Reserarch'!D321:O321</xm:f>
              <xm:sqref>C321</xm:sqref>
            </x14:sparkline>
          </x14:sparklines>
        </x14:sparklineGroup>
        <x14:sparklineGroup displayEmptyCellsAs="gap" xr2:uid="{00000000-0003-0000-0100-000015060000}">
          <x14:colorSeries rgb="FF000000"/>
          <x14:sparklines>
            <x14:sparkline>
              <xm:f>'KW Reserarch'!D322:O322</xm:f>
              <xm:sqref>C322</xm:sqref>
            </x14:sparkline>
          </x14:sparklines>
        </x14:sparklineGroup>
        <x14:sparklineGroup displayEmptyCellsAs="gap" xr2:uid="{00000000-0003-0000-0100-000016060000}">
          <x14:colorSeries rgb="FF000000"/>
          <x14:sparklines>
            <x14:sparkline>
              <xm:f>'KW Reserarch'!D323:O323</xm:f>
              <xm:sqref>C323</xm:sqref>
            </x14:sparkline>
          </x14:sparklines>
        </x14:sparklineGroup>
        <x14:sparklineGroup displayEmptyCellsAs="gap" xr2:uid="{00000000-0003-0000-0100-000017060000}">
          <x14:colorSeries rgb="FF000000"/>
          <x14:sparklines>
            <x14:sparkline>
              <xm:f>'KW Reserarch'!D324:O324</xm:f>
              <xm:sqref>C324</xm:sqref>
            </x14:sparkline>
          </x14:sparklines>
        </x14:sparklineGroup>
        <x14:sparklineGroup displayEmptyCellsAs="gap" xr2:uid="{00000000-0003-0000-0100-000018060000}">
          <x14:colorSeries rgb="FF000000"/>
          <x14:sparklines>
            <x14:sparkline>
              <xm:f>'KW Reserarch'!D325:O325</xm:f>
              <xm:sqref>C325</xm:sqref>
            </x14:sparkline>
          </x14:sparklines>
        </x14:sparklineGroup>
        <x14:sparklineGroup displayEmptyCellsAs="gap" xr2:uid="{00000000-0003-0000-0100-000019060000}">
          <x14:colorSeries rgb="FF000000"/>
          <x14:sparklines>
            <x14:sparkline>
              <xm:f>'KW Reserarch'!D326:O326</xm:f>
              <xm:sqref>C326</xm:sqref>
            </x14:sparkline>
          </x14:sparklines>
        </x14:sparklineGroup>
        <x14:sparklineGroup displayEmptyCellsAs="gap" xr2:uid="{00000000-0003-0000-0100-00001A060000}">
          <x14:colorSeries rgb="FF000000"/>
          <x14:sparklines>
            <x14:sparkline>
              <xm:f>'KW Reserarch'!D327:O327</xm:f>
              <xm:sqref>C327</xm:sqref>
            </x14:sparkline>
          </x14:sparklines>
        </x14:sparklineGroup>
        <x14:sparklineGroup displayEmptyCellsAs="gap" xr2:uid="{00000000-0003-0000-0100-00001B060000}">
          <x14:colorSeries rgb="FF000000"/>
          <x14:sparklines>
            <x14:sparkline>
              <xm:f>'KW Reserarch'!D328:O328</xm:f>
              <xm:sqref>C328</xm:sqref>
            </x14:sparkline>
          </x14:sparklines>
        </x14:sparklineGroup>
        <x14:sparklineGroup displayEmptyCellsAs="gap" xr2:uid="{00000000-0003-0000-0100-00001C060000}">
          <x14:colorSeries rgb="FF000000"/>
          <x14:sparklines>
            <x14:sparkline>
              <xm:f>'KW Reserarch'!D329:O329</xm:f>
              <xm:sqref>C329</xm:sqref>
            </x14:sparkline>
          </x14:sparklines>
        </x14:sparklineGroup>
        <x14:sparklineGroup displayEmptyCellsAs="gap" xr2:uid="{00000000-0003-0000-0100-00001D060000}">
          <x14:colorSeries rgb="FF000000"/>
          <x14:sparklines>
            <x14:sparkline>
              <xm:f>'KW Reserarch'!D330:O330</xm:f>
              <xm:sqref>C330</xm:sqref>
            </x14:sparkline>
          </x14:sparklines>
        </x14:sparklineGroup>
        <x14:sparklineGroup displayEmptyCellsAs="gap" xr2:uid="{00000000-0003-0000-0100-00001E060000}">
          <x14:colorSeries rgb="FF000000"/>
          <x14:sparklines>
            <x14:sparkline>
              <xm:f>'KW Reserarch'!D331:O331</xm:f>
              <xm:sqref>C331</xm:sqref>
            </x14:sparkline>
          </x14:sparklines>
        </x14:sparklineGroup>
        <x14:sparklineGroup displayEmptyCellsAs="gap" xr2:uid="{00000000-0003-0000-0100-00001F060000}">
          <x14:colorSeries rgb="FF000000"/>
          <x14:sparklines>
            <x14:sparkline>
              <xm:f>'KW Reserarch'!D332:O332</xm:f>
              <xm:sqref>C332</xm:sqref>
            </x14:sparkline>
          </x14:sparklines>
        </x14:sparklineGroup>
        <x14:sparklineGroup displayEmptyCellsAs="gap" xr2:uid="{00000000-0003-0000-0100-000020060000}">
          <x14:colorSeries rgb="FF000000"/>
          <x14:sparklines>
            <x14:sparkline>
              <xm:f>'KW Reserarch'!D333:O333</xm:f>
              <xm:sqref>C333</xm:sqref>
            </x14:sparkline>
          </x14:sparklines>
        </x14:sparklineGroup>
        <x14:sparklineGroup displayEmptyCellsAs="gap" xr2:uid="{00000000-0003-0000-0100-000021060000}">
          <x14:colorSeries rgb="FF000000"/>
          <x14:sparklines>
            <x14:sparkline>
              <xm:f>'KW Reserarch'!D334:O334</xm:f>
              <xm:sqref>C334</xm:sqref>
            </x14:sparkline>
          </x14:sparklines>
        </x14:sparklineGroup>
        <x14:sparklineGroup displayEmptyCellsAs="gap" xr2:uid="{00000000-0003-0000-0100-000022060000}">
          <x14:colorSeries rgb="FF000000"/>
          <x14:sparklines>
            <x14:sparkline>
              <xm:f>'KW Reserarch'!D335:O335</xm:f>
              <xm:sqref>C335</xm:sqref>
            </x14:sparkline>
          </x14:sparklines>
        </x14:sparklineGroup>
        <x14:sparklineGroup displayEmptyCellsAs="gap" xr2:uid="{00000000-0003-0000-0100-000023060000}">
          <x14:colorSeries rgb="FF000000"/>
          <x14:sparklines>
            <x14:sparkline>
              <xm:f>'KW Reserarch'!D336:O336</xm:f>
              <xm:sqref>C336</xm:sqref>
            </x14:sparkline>
          </x14:sparklines>
        </x14:sparklineGroup>
        <x14:sparklineGroup displayEmptyCellsAs="gap" xr2:uid="{00000000-0003-0000-0100-000024060000}">
          <x14:colorSeries rgb="FF000000"/>
          <x14:sparklines>
            <x14:sparkline>
              <xm:f>'KW Reserarch'!D337:O337</xm:f>
              <xm:sqref>C337</xm:sqref>
            </x14:sparkline>
          </x14:sparklines>
        </x14:sparklineGroup>
        <x14:sparklineGroup displayEmptyCellsAs="gap" xr2:uid="{00000000-0003-0000-0100-000025060000}">
          <x14:colorSeries rgb="FF000000"/>
          <x14:sparklines>
            <x14:sparkline>
              <xm:f>'KW Reserarch'!D338:O338</xm:f>
              <xm:sqref>C338</xm:sqref>
            </x14:sparkline>
          </x14:sparklines>
        </x14:sparklineGroup>
        <x14:sparklineGroup displayEmptyCellsAs="gap" xr2:uid="{00000000-0003-0000-0100-000026060000}">
          <x14:colorSeries rgb="FF000000"/>
          <x14:sparklines>
            <x14:sparkline>
              <xm:f>'KW Reserarch'!D339:O339</xm:f>
              <xm:sqref>C339</xm:sqref>
            </x14:sparkline>
          </x14:sparklines>
        </x14:sparklineGroup>
        <x14:sparklineGroup displayEmptyCellsAs="gap" xr2:uid="{00000000-0003-0000-0100-000027060000}">
          <x14:colorSeries rgb="FF000000"/>
          <x14:sparklines>
            <x14:sparkline>
              <xm:f>'KW Reserarch'!D340:O340</xm:f>
              <xm:sqref>C340</xm:sqref>
            </x14:sparkline>
          </x14:sparklines>
        </x14:sparklineGroup>
        <x14:sparklineGroup displayEmptyCellsAs="gap" xr2:uid="{00000000-0003-0000-0100-000028060000}">
          <x14:colorSeries rgb="FF000000"/>
          <x14:sparklines>
            <x14:sparkline>
              <xm:f>'KW Reserarch'!D341:O341</xm:f>
              <xm:sqref>C341</xm:sqref>
            </x14:sparkline>
          </x14:sparklines>
        </x14:sparklineGroup>
        <x14:sparklineGroup displayEmptyCellsAs="gap" xr2:uid="{00000000-0003-0000-0100-000029060000}">
          <x14:colorSeries rgb="FF000000"/>
          <x14:sparklines>
            <x14:sparkline>
              <xm:f>'KW Reserarch'!D342:O342</xm:f>
              <xm:sqref>C342</xm:sqref>
            </x14:sparkline>
          </x14:sparklines>
        </x14:sparklineGroup>
        <x14:sparklineGroup displayEmptyCellsAs="gap" xr2:uid="{00000000-0003-0000-0100-00002A060000}">
          <x14:colorSeries rgb="FF000000"/>
          <x14:sparklines>
            <x14:sparkline>
              <xm:f>'KW Reserarch'!D343:O343</xm:f>
              <xm:sqref>C343</xm:sqref>
            </x14:sparkline>
          </x14:sparklines>
        </x14:sparklineGroup>
        <x14:sparklineGroup displayEmptyCellsAs="gap" xr2:uid="{00000000-0003-0000-0100-00002B060000}">
          <x14:colorSeries rgb="FF000000"/>
          <x14:sparklines>
            <x14:sparkline>
              <xm:f>'KW Reserarch'!D344:O344</xm:f>
              <xm:sqref>C344</xm:sqref>
            </x14:sparkline>
          </x14:sparklines>
        </x14:sparklineGroup>
        <x14:sparklineGroup displayEmptyCellsAs="gap" xr2:uid="{00000000-0003-0000-0100-00002C060000}">
          <x14:colorSeries rgb="FF000000"/>
          <x14:sparklines>
            <x14:sparkline>
              <xm:f>'KW Reserarch'!D345:O345</xm:f>
              <xm:sqref>C345</xm:sqref>
            </x14:sparkline>
          </x14:sparklines>
        </x14:sparklineGroup>
        <x14:sparklineGroup displayEmptyCellsAs="gap" xr2:uid="{00000000-0003-0000-0100-00002D060000}">
          <x14:colorSeries rgb="FF000000"/>
          <x14:sparklines>
            <x14:sparkline>
              <xm:f>'KW Reserarch'!D346:O346</xm:f>
              <xm:sqref>C346</xm:sqref>
            </x14:sparkline>
          </x14:sparklines>
        </x14:sparklineGroup>
        <x14:sparklineGroup displayEmptyCellsAs="gap" xr2:uid="{00000000-0003-0000-0100-00002E060000}">
          <x14:colorSeries rgb="FF000000"/>
          <x14:sparklines>
            <x14:sparkline>
              <xm:f>'KW Reserarch'!D347:O347</xm:f>
              <xm:sqref>C347</xm:sqref>
            </x14:sparkline>
          </x14:sparklines>
        </x14:sparklineGroup>
        <x14:sparklineGroup displayEmptyCellsAs="gap" xr2:uid="{00000000-0003-0000-0100-00002F060000}">
          <x14:colorSeries rgb="FF000000"/>
          <x14:sparklines>
            <x14:sparkline>
              <xm:f>'KW Reserarch'!D348:O348</xm:f>
              <xm:sqref>C348</xm:sqref>
            </x14:sparkline>
          </x14:sparklines>
        </x14:sparklineGroup>
        <x14:sparklineGroup displayEmptyCellsAs="gap" xr2:uid="{00000000-0003-0000-0100-000030060000}">
          <x14:colorSeries rgb="FF000000"/>
          <x14:sparklines>
            <x14:sparkline>
              <xm:f>'KW Reserarch'!D349:O349</xm:f>
              <xm:sqref>C349</xm:sqref>
            </x14:sparkline>
          </x14:sparklines>
        </x14:sparklineGroup>
        <x14:sparklineGroup displayEmptyCellsAs="gap" xr2:uid="{00000000-0003-0000-0100-000031060000}">
          <x14:colorSeries rgb="FF000000"/>
          <x14:sparklines>
            <x14:sparkline>
              <xm:f>'KW Reserarch'!D350:O350</xm:f>
              <xm:sqref>C350</xm:sqref>
            </x14:sparkline>
          </x14:sparklines>
        </x14:sparklineGroup>
        <x14:sparklineGroup displayEmptyCellsAs="gap" xr2:uid="{00000000-0003-0000-0100-000032060000}">
          <x14:colorSeries rgb="FF000000"/>
          <x14:sparklines>
            <x14:sparkline>
              <xm:f>'KW Reserarch'!D351:O351</xm:f>
              <xm:sqref>C351</xm:sqref>
            </x14:sparkline>
          </x14:sparklines>
        </x14:sparklineGroup>
        <x14:sparklineGroup displayEmptyCellsAs="gap" xr2:uid="{00000000-0003-0000-0100-000033060000}">
          <x14:colorSeries rgb="FF000000"/>
          <x14:sparklines>
            <x14:sparkline>
              <xm:f>'KW Reserarch'!D352:O352</xm:f>
              <xm:sqref>C352</xm:sqref>
            </x14:sparkline>
          </x14:sparklines>
        </x14:sparklineGroup>
        <x14:sparklineGroup displayEmptyCellsAs="gap" xr2:uid="{00000000-0003-0000-0100-000034060000}">
          <x14:colorSeries rgb="FF000000"/>
          <x14:sparklines>
            <x14:sparkline>
              <xm:f>'KW Reserarch'!D353:O353</xm:f>
              <xm:sqref>C353</xm:sqref>
            </x14:sparkline>
          </x14:sparklines>
        </x14:sparklineGroup>
        <x14:sparklineGroup displayEmptyCellsAs="gap" xr2:uid="{00000000-0003-0000-0100-000035060000}">
          <x14:colorSeries rgb="FF000000"/>
          <x14:sparklines>
            <x14:sparkline>
              <xm:f>'KW Reserarch'!D354:O354</xm:f>
              <xm:sqref>C354</xm:sqref>
            </x14:sparkline>
          </x14:sparklines>
        </x14:sparklineGroup>
        <x14:sparklineGroup displayEmptyCellsAs="gap" xr2:uid="{00000000-0003-0000-0100-000036060000}">
          <x14:colorSeries rgb="FF000000"/>
          <x14:sparklines>
            <x14:sparkline>
              <xm:f>'KW Reserarch'!D355:O355</xm:f>
              <xm:sqref>C355</xm:sqref>
            </x14:sparkline>
          </x14:sparklines>
        </x14:sparklineGroup>
        <x14:sparklineGroup displayEmptyCellsAs="gap" xr2:uid="{00000000-0003-0000-0100-000037060000}">
          <x14:colorSeries rgb="FF000000"/>
          <x14:sparklines>
            <x14:sparkline>
              <xm:f>'KW Reserarch'!D356:O356</xm:f>
              <xm:sqref>C356</xm:sqref>
            </x14:sparkline>
          </x14:sparklines>
        </x14:sparklineGroup>
        <x14:sparklineGroup displayEmptyCellsAs="gap" xr2:uid="{00000000-0003-0000-0100-000038060000}">
          <x14:colorSeries rgb="FF000000"/>
          <x14:sparklines>
            <x14:sparkline>
              <xm:f>'KW Reserarch'!D357:O357</xm:f>
              <xm:sqref>C357</xm:sqref>
            </x14:sparkline>
          </x14:sparklines>
        </x14:sparklineGroup>
        <x14:sparklineGroup displayEmptyCellsAs="gap" xr2:uid="{00000000-0003-0000-0100-000039060000}">
          <x14:colorSeries rgb="FF000000"/>
          <x14:sparklines>
            <x14:sparkline>
              <xm:f>'KW Reserarch'!D358:O358</xm:f>
              <xm:sqref>C358</xm:sqref>
            </x14:sparkline>
          </x14:sparklines>
        </x14:sparklineGroup>
        <x14:sparklineGroup displayEmptyCellsAs="gap" xr2:uid="{00000000-0003-0000-0100-00003A060000}">
          <x14:colorSeries rgb="FF000000"/>
          <x14:sparklines>
            <x14:sparkline>
              <xm:f>'KW Reserarch'!D359:O359</xm:f>
              <xm:sqref>C359</xm:sqref>
            </x14:sparkline>
          </x14:sparklines>
        </x14:sparklineGroup>
        <x14:sparklineGroup displayEmptyCellsAs="gap" xr2:uid="{00000000-0003-0000-0100-00003B060000}">
          <x14:colorSeries rgb="FF000000"/>
          <x14:sparklines>
            <x14:sparkline>
              <xm:f>'KW Reserarch'!D360:O360</xm:f>
              <xm:sqref>C360</xm:sqref>
            </x14:sparkline>
          </x14:sparklines>
        </x14:sparklineGroup>
        <x14:sparklineGroup displayEmptyCellsAs="gap" xr2:uid="{00000000-0003-0000-0100-00003C060000}">
          <x14:colorSeries rgb="FF000000"/>
          <x14:sparklines>
            <x14:sparkline>
              <xm:f>'KW Reserarch'!D361:O361</xm:f>
              <xm:sqref>C361</xm:sqref>
            </x14:sparkline>
          </x14:sparklines>
        </x14:sparklineGroup>
        <x14:sparklineGroup displayEmptyCellsAs="gap" xr2:uid="{00000000-0003-0000-0100-00003D060000}">
          <x14:colorSeries rgb="FF000000"/>
          <x14:sparklines>
            <x14:sparkline>
              <xm:f>'KW Reserarch'!D362:O362</xm:f>
              <xm:sqref>C362</xm:sqref>
            </x14:sparkline>
          </x14:sparklines>
        </x14:sparklineGroup>
        <x14:sparklineGroup displayEmptyCellsAs="gap" xr2:uid="{00000000-0003-0000-0100-00003E060000}">
          <x14:colorSeries rgb="FF000000"/>
          <x14:sparklines>
            <x14:sparkline>
              <xm:f>'KW Reserarch'!D363:O363</xm:f>
              <xm:sqref>C363</xm:sqref>
            </x14:sparkline>
          </x14:sparklines>
        </x14:sparklineGroup>
        <x14:sparklineGroup displayEmptyCellsAs="gap" xr2:uid="{00000000-0003-0000-0100-00003F060000}">
          <x14:colorSeries rgb="FF000000"/>
          <x14:sparklines>
            <x14:sparkline>
              <xm:f>'KW Reserarch'!D364:O364</xm:f>
              <xm:sqref>C364</xm:sqref>
            </x14:sparkline>
          </x14:sparklines>
        </x14:sparklineGroup>
        <x14:sparklineGroup displayEmptyCellsAs="gap" xr2:uid="{00000000-0003-0000-0100-000040060000}">
          <x14:colorSeries rgb="FF000000"/>
          <x14:sparklines>
            <x14:sparkline>
              <xm:f>'KW Reserarch'!D365:O365</xm:f>
              <xm:sqref>C365</xm:sqref>
            </x14:sparkline>
          </x14:sparklines>
        </x14:sparklineGroup>
        <x14:sparklineGroup displayEmptyCellsAs="gap" xr2:uid="{00000000-0003-0000-0100-000041060000}">
          <x14:colorSeries rgb="FF000000"/>
          <x14:sparklines>
            <x14:sparkline>
              <xm:f>'KW Reserarch'!D366:O366</xm:f>
              <xm:sqref>C366</xm:sqref>
            </x14:sparkline>
          </x14:sparklines>
        </x14:sparklineGroup>
        <x14:sparklineGroup displayEmptyCellsAs="gap" xr2:uid="{00000000-0003-0000-0100-000042060000}">
          <x14:colorSeries rgb="FF000000"/>
          <x14:sparklines>
            <x14:sparkline>
              <xm:f>'KW Reserarch'!D367:O367</xm:f>
              <xm:sqref>C367</xm:sqref>
            </x14:sparkline>
          </x14:sparklines>
        </x14:sparklineGroup>
        <x14:sparklineGroup displayEmptyCellsAs="gap" xr2:uid="{00000000-0003-0000-0100-000043060000}">
          <x14:colorSeries rgb="FF000000"/>
          <x14:sparklines>
            <x14:sparkline>
              <xm:f>'KW Reserarch'!D368:O368</xm:f>
              <xm:sqref>C368</xm:sqref>
            </x14:sparkline>
          </x14:sparklines>
        </x14:sparklineGroup>
        <x14:sparklineGroup displayEmptyCellsAs="gap" xr2:uid="{00000000-0003-0000-0100-000044060000}">
          <x14:colorSeries rgb="FF000000"/>
          <x14:sparklines>
            <x14:sparkline>
              <xm:f>'KW Reserarch'!D369:O369</xm:f>
              <xm:sqref>C369</xm:sqref>
            </x14:sparkline>
          </x14:sparklines>
        </x14:sparklineGroup>
        <x14:sparklineGroup displayEmptyCellsAs="gap" xr2:uid="{00000000-0003-0000-0100-000045060000}">
          <x14:colorSeries rgb="FF000000"/>
          <x14:sparklines>
            <x14:sparkline>
              <xm:f>'KW Reserarch'!D370:O370</xm:f>
              <xm:sqref>C370</xm:sqref>
            </x14:sparkline>
          </x14:sparklines>
        </x14:sparklineGroup>
        <x14:sparklineGroup displayEmptyCellsAs="gap" xr2:uid="{00000000-0003-0000-0100-000046060000}">
          <x14:colorSeries rgb="FF000000"/>
          <x14:sparklines>
            <x14:sparkline>
              <xm:f>'KW Reserarch'!D371:O371</xm:f>
              <xm:sqref>C371</xm:sqref>
            </x14:sparkline>
          </x14:sparklines>
        </x14:sparklineGroup>
        <x14:sparklineGroup displayEmptyCellsAs="gap" xr2:uid="{00000000-0003-0000-0100-000047060000}">
          <x14:colorSeries rgb="FF000000"/>
          <x14:sparklines>
            <x14:sparkline>
              <xm:f>'KW Reserarch'!D372:O372</xm:f>
              <xm:sqref>C372</xm:sqref>
            </x14:sparkline>
          </x14:sparklines>
        </x14:sparklineGroup>
        <x14:sparklineGroup displayEmptyCellsAs="gap" xr2:uid="{00000000-0003-0000-0100-000048060000}">
          <x14:colorSeries rgb="FF000000"/>
          <x14:sparklines>
            <x14:sparkline>
              <xm:f>'KW Reserarch'!D373:O373</xm:f>
              <xm:sqref>C373</xm:sqref>
            </x14:sparkline>
          </x14:sparklines>
        </x14:sparklineGroup>
        <x14:sparklineGroup displayEmptyCellsAs="gap" xr2:uid="{00000000-0003-0000-0100-000049060000}">
          <x14:colorSeries rgb="FF000000"/>
          <x14:sparklines>
            <x14:sparkline>
              <xm:f>'KW Reserarch'!D374:O374</xm:f>
              <xm:sqref>C374</xm:sqref>
            </x14:sparkline>
          </x14:sparklines>
        </x14:sparklineGroup>
        <x14:sparklineGroup displayEmptyCellsAs="gap" xr2:uid="{00000000-0003-0000-0100-00004A060000}">
          <x14:colorSeries rgb="FF000000"/>
          <x14:sparklines>
            <x14:sparkline>
              <xm:f>'KW Reserarch'!D375:O375</xm:f>
              <xm:sqref>C375</xm:sqref>
            </x14:sparkline>
          </x14:sparklines>
        </x14:sparklineGroup>
        <x14:sparklineGroup displayEmptyCellsAs="gap" xr2:uid="{00000000-0003-0000-0100-00004B060000}">
          <x14:colorSeries rgb="FF000000"/>
          <x14:sparklines>
            <x14:sparkline>
              <xm:f>'KW Reserarch'!D376:O376</xm:f>
              <xm:sqref>C376</xm:sqref>
            </x14:sparkline>
          </x14:sparklines>
        </x14:sparklineGroup>
        <x14:sparklineGroup displayEmptyCellsAs="gap" xr2:uid="{00000000-0003-0000-0100-00004C060000}">
          <x14:colorSeries rgb="FF000000"/>
          <x14:sparklines>
            <x14:sparkline>
              <xm:f>'KW Reserarch'!D377:O377</xm:f>
              <xm:sqref>C377</xm:sqref>
            </x14:sparkline>
          </x14:sparklines>
        </x14:sparklineGroup>
        <x14:sparklineGroup displayEmptyCellsAs="gap" xr2:uid="{00000000-0003-0000-0100-00004D060000}">
          <x14:colorSeries rgb="FF000000"/>
          <x14:sparklines>
            <x14:sparkline>
              <xm:f>'KW Reserarch'!D378:O378</xm:f>
              <xm:sqref>C378</xm:sqref>
            </x14:sparkline>
          </x14:sparklines>
        </x14:sparklineGroup>
        <x14:sparklineGroup displayEmptyCellsAs="gap" xr2:uid="{00000000-0003-0000-0100-00004E060000}">
          <x14:colorSeries rgb="FF000000"/>
          <x14:sparklines>
            <x14:sparkline>
              <xm:f>'KW Reserarch'!D379:O379</xm:f>
              <xm:sqref>C379</xm:sqref>
            </x14:sparkline>
          </x14:sparklines>
        </x14:sparklineGroup>
        <x14:sparklineGroup displayEmptyCellsAs="gap" xr2:uid="{00000000-0003-0000-0100-00004F060000}">
          <x14:colorSeries rgb="FF000000"/>
          <x14:sparklines>
            <x14:sparkline>
              <xm:f>'KW Reserarch'!D380:O380</xm:f>
              <xm:sqref>C380</xm:sqref>
            </x14:sparkline>
          </x14:sparklines>
        </x14:sparklineGroup>
        <x14:sparklineGroup displayEmptyCellsAs="gap" xr2:uid="{00000000-0003-0000-0100-000050060000}">
          <x14:colorSeries rgb="FF000000"/>
          <x14:sparklines>
            <x14:sparkline>
              <xm:f>'KW Reserarch'!D381:O381</xm:f>
              <xm:sqref>C381</xm:sqref>
            </x14:sparkline>
          </x14:sparklines>
        </x14:sparklineGroup>
        <x14:sparklineGroup displayEmptyCellsAs="gap" xr2:uid="{00000000-0003-0000-0100-000051060000}">
          <x14:colorSeries rgb="FF000000"/>
          <x14:sparklines>
            <x14:sparkline>
              <xm:f>'KW Reserarch'!D382:O382</xm:f>
              <xm:sqref>C382</xm:sqref>
            </x14:sparkline>
          </x14:sparklines>
        </x14:sparklineGroup>
        <x14:sparklineGroup displayEmptyCellsAs="gap" xr2:uid="{00000000-0003-0000-0100-000052060000}">
          <x14:colorSeries rgb="FF000000"/>
          <x14:sparklines>
            <x14:sparkline>
              <xm:f>'KW Reserarch'!D383:O383</xm:f>
              <xm:sqref>C383</xm:sqref>
            </x14:sparkline>
          </x14:sparklines>
        </x14:sparklineGroup>
        <x14:sparklineGroup displayEmptyCellsAs="gap" xr2:uid="{00000000-0003-0000-0100-000053060000}">
          <x14:colorSeries rgb="FF000000"/>
          <x14:sparklines>
            <x14:sparkline>
              <xm:f>'KW Reserarch'!D384:O384</xm:f>
              <xm:sqref>C384</xm:sqref>
            </x14:sparkline>
          </x14:sparklines>
        </x14:sparklineGroup>
        <x14:sparklineGroup displayEmptyCellsAs="gap" xr2:uid="{00000000-0003-0000-0100-000054060000}">
          <x14:colorSeries rgb="FF000000"/>
          <x14:sparklines>
            <x14:sparkline>
              <xm:f>'KW Reserarch'!D385:O385</xm:f>
              <xm:sqref>C385</xm:sqref>
            </x14:sparkline>
          </x14:sparklines>
        </x14:sparklineGroup>
        <x14:sparklineGroup displayEmptyCellsAs="gap" xr2:uid="{00000000-0003-0000-0100-000055060000}">
          <x14:colorSeries rgb="FF000000"/>
          <x14:sparklines>
            <x14:sparkline>
              <xm:f>'KW Reserarch'!D386:O386</xm:f>
              <xm:sqref>C386</xm:sqref>
            </x14:sparkline>
          </x14:sparklines>
        </x14:sparklineGroup>
        <x14:sparklineGroup displayEmptyCellsAs="gap" xr2:uid="{00000000-0003-0000-0100-000056060000}">
          <x14:colorSeries rgb="FF000000"/>
          <x14:sparklines>
            <x14:sparkline>
              <xm:f>'KW Reserarch'!D387:O387</xm:f>
              <xm:sqref>C387</xm:sqref>
            </x14:sparkline>
          </x14:sparklines>
        </x14:sparklineGroup>
        <x14:sparklineGroup displayEmptyCellsAs="gap" xr2:uid="{00000000-0003-0000-0100-000057060000}">
          <x14:colorSeries rgb="FF000000"/>
          <x14:sparklines>
            <x14:sparkline>
              <xm:f>'KW Reserarch'!D388:O388</xm:f>
              <xm:sqref>C388</xm:sqref>
            </x14:sparkline>
          </x14:sparklines>
        </x14:sparklineGroup>
        <x14:sparklineGroup displayEmptyCellsAs="gap" xr2:uid="{00000000-0003-0000-0100-000058060000}">
          <x14:colorSeries rgb="FF000000"/>
          <x14:sparklines>
            <x14:sparkline>
              <xm:f>'KW Reserarch'!D389:O389</xm:f>
              <xm:sqref>C389</xm:sqref>
            </x14:sparkline>
          </x14:sparklines>
        </x14:sparklineGroup>
        <x14:sparklineGroup displayEmptyCellsAs="gap" xr2:uid="{00000000-0003-0000-0100-000059060000}">
          <x14:colorSeries rgb="FF000000"/>
          <x14:sparklines>
            <x14:sparkline>
              <xm:f>'KW Reserarch'!D390:O390</xm:f>
              <xm:sqref>C390</xm:sqref>
            </x14:sparkline>
          </x14:sparklines>
        </x14:sparklineGroup>
        <x14:sparklineGroup displayEmptyCellsAs="gap" xr2:uid="{00000000-0003-0000-0100-00005A060000}">
          <x14:colorSeries rgb="FF000000"/>
          <x14:sparklines>
            <x14:sparkline>
              <xm:f>'KW Reserarch'!D391:O391</xm:f>
              <xm:sqref>C391</xm:sqref>
            </x14:sparkline>
          </x14:sparklines>
        </x14:sparklineGroup>
        <x14:sparklineGroup displayEmptyCellsAs="gap" xr2:uid="{00000000-0003-0000-0100-00005B060000}">
          <x14:colorSeries rgb="FF000000"/>
          <x14:sparklines>
            <x14:sparkline>
              <xm:f>'KW Reserarch'!D392:O392</xm:f>
              <xm:sqref>C392</xm:sqref>
            </x14:sparkline>
          </x14:sparklines>
        </x14:sparklineGroup>
        <x14:sparklineGroup displayEmptyCellsAs="gap" xr2:uid="{00000000-0003-0000-0100-00005C060000}">
          <x14:colorSeries rgb="FF000000"/>
          <x14:sparklines>
            <x14:sparkline>
              <xm:f>'KW Reserarch'!D393:O393</xm:f>
              <xm:sqref>C393</xm:sqref>
            </x14:sparkline>
          </x14:sparklines>
        </x14:sparklineGroup>
        <x14:sparklineGroup displayEmptyCellsAs="gap" xr2:uid="{00000000-0003-0000-0100-00005D060000}">
          <x14:colorSeries rgb="FF000000"/>
          <x14:sparklines>
            <x14:sparkline>
              <xm:f>'KW Reserarch'!D394:O394</xm:f>
              <xm:sqref>C394</xm:sqref>
            </x14:sparkline>
          </x14:sparklines>
        </x14:sparklineGroup>
        <x14:sparklineGroup displayEmptyCellsAs="gap" xr2:uid="{00000000-0003-0000-0100-00005E060000}">
          <x14:colorSeries rgb="FF000000"/>
          <x14:sparklines>
            <x14:sparkline>
              <xm:f>'KW Reserarch'!D395:O395</xm:f>
              <xm:sqref>C395</xm:sqref>
            </x14:sparkline>
          </x14:sparklines>
        </x14:sparklineGroup>
        <x14:sparklineGroup displayEmptyCellsAs="gap" xr2:uid="{00000000-0003-0000-0100-00005F060000}">
          <x14:colorSeries rgb="FF000000"/>
          <x14:sparklines>
            <x14:sparkline>
              <xm:f>'KW Reserarch'!D396:O396</xm:f>
              <xm:sqref>C396</xm:sqref>
            </x14:sparkline>
          </x14:sparklines>
        </x14:sparklineGroup>
        <x14:sparklineGroup displayEmptyCellsAs="gap" xr2:uid="{00000000-0003-0000-0100-000060060000}">
          <x14:colorSeries rgb="FF000000"/>
          <x14:sparklines>
            <x14:sparkline>
              <xm:f>'KW Reserarch'!D397:O397</xm:f>
              <xm:sqref>C397</xm:sqref>
            </x14:sparkline>
          </x14:sparklines>
        </x14:sparklineGroup>
        <x14:sparklineGroup displayEmptyCellsAs="gap" xr2:uid="{00000000-0003-0000-0100-000061060000}">
          <x14:colorSeries rgb="FF000000"/>
          <x14:sparklines>
            <x14:sparkline>
              <xm:f>'KW Reserarch'!D398:O398</xm:f>
              <xm:sqref>C398</xm:sqref>
            </x14:sparkline>
          </x14:sparklines>
        </x14:sparklineGroup>
        <x14:sparklineGroup displayEmptyCellsAs="gap" xr2:uid="{00000000-0003-0000-0100-000062060000}">
          <x14:colorSeries rgb="FF000000"/>
          <x14:sparklines>
            <x14:sparkline>
              <xm:f>'KW Reserarch'!D399:O399</xm:f>
              <xm:sqref>C399</xm:sqref>
            </x14:sparkline>
          </x14:sparklines>
        </x14:sparklineGroup>
        <x14:sparklineGroup displayEmptyCellsAs="gap" xr2:uid="{00000000-0003-0000-0100-000063060000}">
          <x14:colorSeries rgb="FF000000"/>
          <x14:sparklines>
            <x14:sparkline>
              <xm:f>'KW Reserarch'!D400:O400</xm:f>
              <xm:sqref>C400</xm:sqref>
            </x14:sparkline>
          </x14:sparklines>
        </x14:sparklineGroup>
        <x14:sparklineGroup displayEmptyCellsAs="gap" xr2:uid="{00000000-0003-0000-0100-000064060000}">
          <x14:colorSeries rgb="FF000000"/>
          <x14:sparklines>
            <x14:sparkline>
              <xm:f>'KW Reserarch'!D401:O401</xm:f>
              <xm:sqref>C401</xm:sqref>
            </x14:sparkline>
          </x14:sparklines>
        </x14:sparklineGroup>
        <x14:sparklineGroup displayEmptyCellsAs="gap" xr2:uid="{00000000-0003-0000-0100-000065060000}">
          <x14:colorSeries rgb="FF000000"/>
          <x14:sparklines>
            <x14:sparkline>
              <xm:f>'KW Reserarch'!D402:O402</xm:f>
              <xm:sqref>C402</xm:sqref>
            </x14:sparkline>
          </x14:sparklines>
        </x14:sparklineGroup>
        <x14:sparklineGroup displayEmptyCellsAs="gap" xr2:uid="{00000000-0003-0000-0100-000066060000}">
          <x14:colorSeries rgb="FF000000"/>
          <x14:sparklines>
            <x14:sparkline>
              <xm:f>'KW Reserarch'!D403:O403</xm:f>
              <xm:sqref>C403</xm:sqref>
            </x14:sparkline>
          </x14:sparklines>
        </x14:sparklineGroup>
        <x14:sparklineGroup displayEmptyCellsAs="gap" xr2:uid="{00000000-0003-0000-0100-000067060000}">
          <x14:colorSeries rgb="FF000000"/>
          <x14:sparklines>
            <x14:sparkline>
              <xm:f>'KW Reserarch'!D404:O404</xm:f>
              <xm:sqref>C404</xm:sqref>
            </x14:sparkline>
          </x14:sparklines>
        </x14:sparklineGroup>
        <x14:sparklineGroup displayEmptyCellsAs="gap" xr2:uid="{00000000-0003-0000-0100-000068060000}">
          <x14:colorSeries rgb="FF000000"/>
          <x14:sparklines>
            <x14:sparkline>
              <xm:f>'KW Reserarch'!D405:O405</xm:f>
              <xm:sqref>C405</xm:sqref>
            </x14:sparkline>
          </x14:sparklines>
        </x14:sparklineGroup>
        <x14:sparklineGroup displayEmptyCellsAs="gap" xr2:uid="{00000000-0003-0000-0100-000069060000}">
          <x14:colorSeries rgb="FF000000"/>
          <x14:sparklines>
            <x14:sparkline>
              <xm:f>'KW Reserarch'!D406:O406</xm:f>
              <xm:sqref>C406</xm:sqref>
            </x14:sparkline>
          </x14:sparklines>
        </x14:sparklineGroup>
        <x14:sparklineGroup displayEmptyCellsAs="gap" xr2:uid="{00000000-0003-0000-0100-00006A060000}">
          <x14:colorSeries rgb="FF000000"/>
          <x14:sparklines>
            <x14:sparkline>
              <xm:f>'KW Reserarch'!D407:O407</xm:f>
              <xm:sqref>C407</xm:sqref>
            </x14:sparkline>
          </x14:sparklines>
        </x14:sparklineGroup>
        <x14:sparklineGroup displayEmptyCellsAs="gap" xr2:uid="{00000000-0003-0000-0100-00006B060000}">
          <x14:colorSeries rgb="FF000000"/>
          <x14:sparklines>
            <x14:sparkline>
              <xm:f>'KW Reserarch'!D408:O408</xm:f>
              <xm:sqref>C408</xm:sqref>
            </x14:sparkline>
          </x14:sparklines>
        </x14:sparklineGroup>
        <x14:sparklineGroup displayEmptyCellsAs="gap" xr2:uid="{00000000-0003-0000-0100-00006C060000}">
          <x14:colorSeries rgb="FF000000"/>
          <x14:sparklines>
            <x14:sparkline>
              <xm:f>'KW Reserarch'!D409:O409</xm:f>
              <xm:sqref>C409</xm:sqref>
            </x14:sparkline>
          </x14:sparklines>
        </x14:sparklineGroup>
        <x14:sparklineGroup displayEmptyCellsAs="gap" xr2:uid="{00000000-0003-0000-0100-00006D060000}">
          <x14:colorSeries rgb="FF000000"/>
          <x14:sparklines>
            <x14:sparkline>
              <xm:f>'KW Reserarch'!D410:O410</xm:f>
              <xm:sqref>C410</xm:sqref>
            </x14:sparkline>
          </x14:sparklines>
        </x14:sparklineGroup>
        <x14:sparklineGroup displayEmptyCellsAs="gap" xr2:uid="{00000000-0003-0000-0100-00006E060000}">
          <x14:colorSeries rgb="FF000000"/>
          <x14:sparklines>
            <x14:sparkline>
              <xm:f>'KW Reserarch'!D411:O411</xm:f>
              <xm:sqref>C411</xm:sqref>
            </x14:sparkline>
          </x14:sparklines>
        </x14:sparklineGroup>
        <x14:sparklineGroup displayEmptyCellsAs="gap" xr2:uid="{00000000-0003-0000-0100-00006F060000}">
          <x14:colorSeries rgb="FF000000"/>
          <x14:sparklines>
            <x14:sparkline>
              <xm:f>'KW Reserarch'!D412:O412</xm:f>
              <xm:sqref>C412</xm:sqref>
            </x14:sparkline>
          </x14:sparklines>
        </x14:sparklineGroup>
        <x14:sparklineGroup displayEmptyCellsAs="gap" xr2:uid="{00000000-0003-0000-0100-000070060000}">
          <x14:colorSeries rgb="FF000000"/>
          <x14:sparklines>
            <x14:sparkline>
              <xm:f>'KW Reserarch'!D413:O413</xm:f>
              <xm:sqref>C413</xm:sqref>
            </x14:sparkline>
          </x14:sparklines>
        </x14:sparklineGroup>
        <x14:sparklineGroup displayEmptyCellsAs="gap" xr2:uid="{00000000-0003-0000-0100-000071060000}">
          <x14:colorSeries rgb="FF000000"/>
          <x14:sparklines>
            <x14:sparkline>
              <xm:f>'KW Reserarch'!D414:O414</xm:f>
              <xm:sqref>C414</xm:sqref>
            </x14:sparkline>
          </x14:sparklines>
        </x14:sparklineGroup>
        <x14:sparklineGroup displayEmptyCellsAs="gap" xr2:uid="{00000000-0003-0000-0100-000072060000}">
          <x14:colorSeries rgb="FF000000"/>
          <x14:sparklines>
            <x14:sparkline>
              <xm:f>'KW Reserarch'!D415:O415</xm:f>
              <xm:sqref>C415</xm:sqref>
            </x14:sparkline>
          </x14:sparklines>
        </x14:sparklineGroup>
        <x14:sparklineGroup displayEmptyCellsAs="gap" xr2:uid="{00000000-0003-0000-0100-000073060000}">
          <x14:colorSeries rgb="FF000000"/>
          <x14:sparklines>
            <x14:sparkline>
              <xm:f>'KW Reserarch'!D416:O416</xm:f>
              <xm:sqref>C416</xm:sqref>
            </x14:sparkline>
          </x14:sparklines>
        </x14:sparklineGroup>
        <x14:sparklineGroup displayEmptyCellsAs="gap" xr2:uid="{00000000-0003-0000-0100-000074060000}">
          <x14:colorSeries rgb="FF000000"/>
          <x14:sparklines>
            <x14:sparkline>
              <xm:f>'KW Reserarch'!D417:O417</xm:f>
              <xm:sqref>C417</xm:sqref>
            </x14:sparkline>
          </x14:sparklines>
        </x14:sparklineGroup>
        <x14:sparklineGroup displayEmptyCellsAs="gap" xr2:uid="{00000000-0003-0000-0100-000075060000}">
          <x14:colorSeries rgb="FF000000"/>
          <x14:sparklines>
            <x14:sparkline>
              <xm:f>'KW Reserarch'!D418:O418</xm:f>
              <xm:sqref>C418</xm:sqref>
            </x14:sparkline>
          </x14:sparklines>
        </x14:sparklineGroup>
        <x14:sparklineGroup displayEmptyCellsAs="gap" xr2:uid="{00000000-0003-0000-0100-000076060000}">
          <x14:colorSeries rgb="FF000000"/>
          <x14:sparklines>
            <x14:sparkline>
              <xm:f>'KW Reserarch'!D419:O419</xm:f>
              <xm:sqref>C419</xm:sqref>
            </x14:sparkline>
          </x14:sparklines>
        </x14:sparklineGroup>
        <x14:sparklineGroup displayEmptyCellsAs="gap" xr2:uid="{00000000-0003-0000-0100-000077060000}">
          <x14:colorSeries rgb="FF000000"/>
          <x14:sparklines>
            <x14:sparkline>
              <xm:f>'KW Reserarch'!D420:O420</xm:f>
              <xm:sqref>C420</xm:sqref>
            </x14:sparkline>
          </x14:sparklines>
        </x14:sparklineGroup>
        <x14:sparklineGroup displayEmptyCellsAs="gap" xr2:uid="{00000000-0003-0000-0100-000078060000}">
          <x14:colorSeries rgb="FF000000"/>
          <x14:sparklines>
            <x14:sparkline>
              <xm:f>'KW Reserarch'!D421:O421</xm:f>
              <xm:sqref>C421</xm:sqref>
            </x14:sparkline>
          </x14:sparklines>
        </x14:sparklineGroup>
        <x14:sparklineGroup displayEmptyCellsAs="gap" xr2:uid="{00000000-0003-0000-0100-000079060000}">
          <x14:colorSeries rgb="FF000000"/>
          <x14:sparklines>
            <x14:sparkline>
              <xm:f>'KW Reserarch'!D422:O422</xm:f>
              <xm:sqref>C422</xm:sqref>
            </x14:sparkline>
          </x14:sparklines>
        </x14:sparklineGroup>
        <x14:sparklineGroup displayEmptyCellsAs="gap" xr2:uid="{00000000-0003-0000-0100-00007A060000}">
          <x14:colorSeries rgb="FF000000"/>
          <x14:sparklines>
            <x14:sparkline>
              <xm:f>'KW Reserarch'!D423:O423</xm:f>
              <xm:sqref>C423</xm:sqref>
            </x14:sparkline>
          </x14:sparklines>
        </x14:sparklineGroup>
        <x14:sparklineGroup displayEmptyCellsAs="gap" xr2:uid="{00000000-0003-0000-0100-00007B060000}">
          <x14:colorSeries rgb="FF000000"/>
          <x14:sparklines>
            <x14:sparkline>
              <xm:f>'KW Reserarch'!D424:O424</xm:f>
              <xm:sqref>C424</xm:sqref>
            </x14:sparkline>
          </x14:sparklines>
        </x14:sparklineGroup>
        <x14:sparklineGroup displayEmptyCellsAs="gap" xr2:uid="{00000000-0003-0000-0100-00007C060000}">
          <x14:colorSeries rgb="FF000000"/>
          <x14:sparklines>
            <x14:sparkline>
              <xm:f>'KW Reserarch'!D425:O425</xm:f>
              <xm:sqref>C425</xm:sqref>
            </x14:sparkline>
          </x14:sparklines>
        </x14:sparklineGroup>
        <x14:sparklineGroup displayEmptyCellsAs="gap" xr2:uid="{00000000-0003-0000-0100-00007D060000}">
          <x14:colorSeries rgb="FF000000"/>
          <x14:sparklines>
            <x14:sparkline>
              <xm:f>'KW Reserarch'!D426:O426</xm:f>
              <xm:sqref>C426</xm:sqref>
            </x14:sparkline>
          </x14:sparklines>
        </x14:sparklineGroup>
        <x14:sparklineGroup displayEmptyCellsAs="gap" xr2:uid="{00000000-0003-0000-0100-00007E060000}">
          <x14:colorSeries rgb="FF000000"/>
          <x14:sparklines>
            <x14:sparkline>
              <xm:f>'KW Reserarch'!D427:O427</xm:f>
              <xm:sqref>C427</xm:sqref>
            </x14:sparkline>
          </x14:sparklines>
        </x14:sparklineGroup>
        <x14:sparklineGroup displayEmptyCellsAs="gap" xr2:uid="{00000000-0003-0000-0100-00007F060000}">
          <x14:colorSeries rgb="FF000000"/>
          <x14:sparklines>
            <x14:sparkline>
              <xm:f>'KW Reserarch'!D428:O428</xm:f>
              <xm:sqref>C428</xm:sqref>
            </x14:sparkline>
          </x14:sparklines>
        </x14:sparklineGroup>
        <x14:sparklineGroup displayEmptyCellsAs="gap" xr2:uid="{00000000-0003-0000-0100-000080060000}">
          <x14:colorSeries rgb="FF000000"/>
          <x14:sparklines>
            <x14:sparkline>
              <xm:f>'KW Reserarch'!D429:O429</xm:f>
              <xm:sqref>C429</xm:sqref>
            </x14:sparkline>
          </x14:sparklines>
        </x14:sparklineGroup>
        <x14:sparklineGroup displayEmptyCellsAs="gap" xr2:uid="{00000000-0003-0000-0100-000081060000}">
          <x14:colorSeries rgb="FF000000"/>
          <x14:sparklines>
            <x14:sparkline>
              <xm:f>'KW Reserarch'!D430:O430</xm:f>
              <xm:sqref>C430</xm:sqref>
            </x14:sparkline>
          </x14:sparklines>
        </x14:sparklineGroup>
        <x14:sparklineGroup displayEmptyCellsAs="gap" xr2:uid="{00000000-0003-0000-0100-000082060000}">
          <x14:colorSeries rgb="FF000000"/>
          <x14:sparklines>
            <x14:sparkline>
              <xm:f>'KW Reserarch'!D431:O431</xm:f>
              <xm:sqref>C431</xm:sqref>
            </x14:sparkline>
          </x14:sparklines>
        </x14:sparklineGroup>
        <x14:sparklineGroup displayEmptyCellsAs="gap" xr2:uid="{00000000-0003-0000-0100-000083060000}">
          <x14:colorSeries rgb="FF000000"/>
          <x14:sparklines>
            <x14:sparkline>
              <xm:f>'KW Reserarch'!D432:O432</xm:f>
              <xm:sqref>C432</xm:sqref>
            </x14:sparkline>
          </x14:sparklines>
        </x14:sparklineGroup>
        <x14:sparklineGroup displayEmptyCellsAs="gap" xr2:uid="{00000000-0003-0000-0100-000084060000}">
          <x14:colorSeries rgb="FF000000"/>
          <x14:sparklines>
            <x14:sparkline>
              <xm:f>'KW Reserarch'!D433:O433</xm:f>
              <xm:sqref>C433</xm:sqref>
            </x14:sparkline>
          </x14:sparklines>
        </x14:sparklineGroup>
        <x14:sparklineGroup displayEmptyCellsAs="gap" xr2:uid="{00000000-0003-0000-0100-000085060000}">
          <x14:colorSeries rgb="FF000000"/>
          <x14:sparklines>
            <x14:sparkline>
              <xm:f>'KW Reserarch'!D434:O434</xm:f>
              <xm:sqref>C434</xm:sqref>
            </x14:sparkline>
          </x14:sparklines>
        </x14:sparklineGroup>
        <x14:sparklineGroup displayEmptyCellsAs="gap" xr2:uid="{00000000-0003-0000-0100-000086060000}">
          <x14:colorSeries rgb="FF000000"/>
          <x14:sparklines>
            <x14:sparkline>
              <xm:f>'KW Reserarch'!D435:O435</xm:f>
              <xm:sqref>C435</xm:sqref>
            </x14:sparkline>
          </x14:sparklines>
        </x14:sparklineGroup>
        <x14:sparklineGroup displayEmptyCellsAs="gap" xr2:uid="{00000000-0003-0000-0100-000087060000}">
          <x14:colorSeries rgb="FF000000"/>
          <x14:sparklines>
            <x14:sparkline>
              <xm:f>'KW Reserarch'!D436:O436</xm:f>
              <xm:sqref>C436</xm:sqref>
            </x14:sparkline>
          </x14:sparklines>
        </x14:sparklineGroup>
        <x14:sparklineGroup displayEmptyCellsAs="gap" xr2:uid="{00000000-0003-0000-0100-000088060000}">
          <x14:colorSeries rgb="FF000000"/>
          <x14:sparklines>
            <x14:sparkline>
              <xm:f>'KW Reserarch'!D437:O437</xm:f>
              <xm:sqref>C437</xm:sqref>
            </x14:sparkline>
          </x14:sparklines>
        </x14:sparklineGroup>
        <x14:sparklineGroup displayEmptyCellsAs="gap" xr2:uid="{00000000-0003-0000-0100-000089060000}">
          <x14:colorSeries rgb="FF000000"/>
          <x14:sparklines>
            <x14:sparkline>
              <xm:f>'KW Reserarch'!D438:O438</xm:f>
              <xm:sqref>C438</xm:sqref>
            </x14:sparkline>
          </x14:sparklines>
        </x14:sparklineGroup>
        <x14:sparklineGroup displayEmptyCellsAs="gap" xr2:uid="{00000000-0003-0000-0100-00008A060000}">
          <x14:colorSeries rgb="FF000000"/>
          <x14:sparklines>
            <x14:sparkline>
              <xm:f>'KW Reserarch'!D439:O439</xm:f>
              <xm:sqref>C439</xm:sqref>
            </x14:sparkline>
          </x14:sparklines>
        </x14:sparklineGroup>
        <x14:sparklineGroup displayEmptyCellsAs="gap" xr2:uid="{00000000-0003-0000-0100-00008B060000}">
          <x14:colorSeries rgb="FF000000"/>
          <x14:sparklines>
            <x14:sparkline>
              <xm:f>'KW Reserarch'!D440:O440</xm:f>
              <xm:sqref>C440</xm:sqref>
            </x14:sparkline>
          </x14:sparklines>
        </x14:sparklineGroup>
        <x14:sparklineGroup displayEmptyCellsAs="gap" xr2:uid="{00000000-0003-0000-0100-00008C060000}">
          <x14:colorSeries rgb="FF000000"/>
          <x14:sparklines>
            <x14:sparkline>
              <xm:f>'KW Reserarch'!D441:O441</xm:f>
              <xm:sqref>C441</xm:sqref>
            </x14:sparkline>
          </x14:sparklines>
        </x14:sparklineGroup>
        <x14:sparklineGroup displayEmptyCellsAs="gap" xr2:uid="{00000000-0003-0000-0100-00008D060000}">
          <x14:colorSeries rgb="FF000000"/>
          <x14:sparklines>
            <x14:sparkline>
              <xm:f>'KW Reserarch'!D442:O442</xm:f>
              <xm:sqref>C442</xm:sqref>
            </x14:sparkline>
          </x14:sparklines>
        </x14:sparklineGroup>
        <x14:sparklineGroup displayEmptyCellsAs="gap" xr2:uid="{00000000-0003-0000-0100-00008E060000}">
          <x14:colorSeries rgb="FF000000"/>
          <x14:sparklines>
            <x14:sparkline>
              <xm:f>'KW Reserarch'!D443:O443</xm:f>
              <xm:sqref>C443</xm:sqref>
            </x14:sparkline>
          </x14:sparklines>
        </x14:sparklineGroup>
        <x14:sparklineGroup displayEmptyCellsAs="gap" xr2:uid="{00000000-0003-0000-0100-00008F060000}">
          <x14:colorSeries rgb="FF000000"/>
          <x14:sparklines>
            <x14:sparkline>
              <xm:f>'KW Reserarch'!D444:O444</xm:f>
              <xm:sqref>C444</xm:sqref>
            </x14:sparkline>
          </x14:sparklines>
        </x14:sparklineGroup>
        <x14:sparklineGroup displayEmptyCellsAs="gap" xr2:uid="{00000000-0003-0000-0100-000090060000}">
          <x14:colorSeries rgb="FF000000"/>
          <x14:sparklines>
            <x14:sparkline>
              <xm:f>'KW Reserarch'!D445:O445</xm:f>
              <xm:sqref>C445</xm:sqref>
            </x14:sparkline>
          </x14:sparklines>
        </x14:sparklineGroup>
        <x14:sparklineGroup displayEmptyCellsAs="gap" xr2:uid="{00000000-0003-0000-0100-000091060000}">
          <x14:colorSeries rgb="FF000000"/>
          <x14:sparklines>
            <x14:sparkline>
              <xm:f>'KW Reserarch'!D446:O446</xm:f>
              <xm:sqref>C446</xm:sqref>
            </x14:sparkline>
          </x14:sparklines>
        </x14:sparklineGroup>
        <x14:sparklineGroup displayEmptyCellsAs="gap" xr2:uid="{00000000-0003-0000-0100-000092060000}">
          <x14:colorSeries rgb="FF000000"/>
          <x14:sparklines>
            <x14:sparkline>
              <xm:f>'KW Reserarch'!D447:O447</xm:f>
              <xm:sqref>C447</xm:sqref>
            </x14:sparkline>
          </x14:sparklines>
        </x14:sparklineGroup>
        <x14:sparklineGroup displayEmptyCellsAs="gap" xr2:uid="{00000000-0003-0000-0100-000093060000}">
          <x14:colorSeries rgb="FF000000"/>
          <x14:sparklines>
            <x14:sparkline>
              <xm:f>'KW Reserarch'!D448:O448</xm:f>
              <xm:sqref>C448</xm:sqref>
            </x14:sparkline>
          </x14:sparklines>
        </x14:sparklineGroup>
        <x14:sparklineGroup displayEmptyCellsAs="gap" xr2:uid="{00000000-0003-0000-0100-000094060000}">
          <x14:colorSeries rgb="FF000000"/>
          <x14:sparklines>
            <x14:sparkline>
              <xm:f>'KW Reserarch'!D449:O449</xm:f>
              <xm:sqref>C449</xm:sqref>
            </x14:sparkline>
          </x14:sparklines>
        </x14:sparklineGroup>
        <x14:sparklineGroup displayEmptyCellsAs="gap" xr2:uid="{00000000-0003-0000-0100-000095060000}">
          <x14:colorSeries rgb="FF000000"/>
          <x14:sparklines>
            <x14:sparkline>
              <xm:f>'KW Reserarch'!D450:O450</xm:f>
              <xm:sqref>C450</xm:sqref>
            </x14:sparkline>
          </x14:sparklines>
        </x14:sparklineGroup>
        <x14:sparklineGroup displayEmptyCellsAs="gap" xr2:uid="{00000000-0003-0000-0100-000096060000}">
          <x14:colorSeries rgb="FF000000"/>
          <x14:sparklines>
            <x14:sparkline>
              <xm:f>'KW Reserarch'!D451:O451</xm:f>
              <xm:sqref>C451</xm:sqref>
            </x14:sparkline>
          </x14:sparklines>
        </x14:sparklineGroup>
        <x14:sparklineGroup displayEmptyCellsAs="gap" xr2:uid="{00000000-0003-0000-0100-000097060000}">
          <x14:colorSeries rgb="FF000000"/>
          <x14:sparklines>
            <x14:sparkline>
              <xm:f>'KW Reserarch'!D452:O452</xm:f>
              <xm:sqref>C452</xm:sqref>
            </x14:sparkline>
          </x14:sparklines>
        </x14:sparklineGroup>
        <x14:sparklineGroup displayEmptyCellsAs="gap" xr2:uid="{00000000-0003-0000-0100-000098060000}">
          <x14:colorSeries rgb="FF000000"/>
          <x14:sparklines>
            <x14:sparkline>
              <xm:f>'KW Reserarch'!D453:O453</xm:f>
              <xm:sqref>C453</xm:sqref>
            </x14:sparkline>
          </x14:sparklines>
        </x14:sparklineGroup>
        <x14:sparklineGroup displayEmptyCellsAs="gap" xr2:uid="{00000000-0003-0000-0100-000099060000}">
          <x14:colorSeries rgb="FF000000"/>
          <x14:sparklines>
            <x14:sparkline>
              <xm:f>'KW Reserarch'!D454:O454</xm:f>
              <xm:sqref>C454</xm:sqref>
            </x14:sparkline>
          </x14:sparklines>
        </x14:sparklineGroup>
        <x14:sparklineGroup displayEmptyCellsAs="gap" xr2:uid="{00000000-0003-0000-0100-00009A060000}">
          <x14:colorSeries rgb="FF000000"/>
          <x14:sparklines>
            <x14:sparkline>
              <xm:f>'KW Reserarch'!D455:O455</xm:f>
              <xm:sqref>C455</xm:sqref>
            </x14:sparkline>
          </x14:sparklines>
        </x14:sparklineGroup>
        <x14:sparklineGroup displayEmptyCellsAs="gap" xr2:uid="{00000000-0003-0000-0100-00009B060000}">
          <x14:colorSeries rgb="FF000000"/>
          <x14:sparklines>
            <x14:sparkline>
              <xm:f>'KW Reserarch'!D456:O456</xm:f>
              <xm:sqref>C456</xm:sqref>
            </x14:sparkline>
          </x14:sparklines>
        </x14:sparklineGroup>
        <x14:sparklineGroup displayEmptyCellsAs="gap" xr2:uid="{00000000-0003-0000-0100-00009C060000}">
          <x14:colorSeries rgb="FF000000"/>
          <x14:sparklines>
            <x14:sparkline>
              <xm:f>'KW Reserarch'!D457:O457</xm:f>
              <xm:sqref>C457</xm:sqref>
            </x14:sparkline>
          </x14:sparklines>
        </x14:sparklineGroup>
        <x14:sparklineGroup displayEmptyCellsAs="gap" xr2:uid="{00000000-0003-0000-0100-00009D060000}">
          <x14:colorSeries rgb="FF000000"/>
          <x14:sparklines>
            <x14:sparkline>
              <xm:f>'KW Reserarch'!D458:O458</xm:f>
              <xm:sqref>C458</xm:sqref>
            </x14:sparkline>
          </x14:sparklines>
        </x14:sparklineGroup>
        <x14:sparklineGroup displayEmptyCellsAs="gap" xr2:uid="{00000000-0003-0000-0100-00009E060000}">
          <x14:colorSeries rgb="FF000000"/>
          <x14:sparklines>
            <x14:sparkline>
              <xm:f>'KW Reserarch'!D459:O459</xm:f>
              <xm:sqref>C459</xm:sqref>
            </x14:sparkline>
          </x14:sparklines>
        </x14:sparklineGroup>
        <x14:sparklineGroup displayEmptyCellsAs="gap" xr2:uid="{00000000-0003-0000-0100-00009F060000}">
          <x14:colorSeries rgb="FF000000"/>
          <x14:sparklines>
            <x14:sparkline>
              <xm:f>'KW Reserarch'!D460:O460</xm:f>
              <xm:sqref>C460</xm:sqref>
            </x14:sparkline>
          </x14:sparklines>
        </x14:sparklineGroup>
        <x14:sparklineGroup displayEmptyCellsAs="gap" xr2:uid="{00000000-0003-0000-0100-0000A0060000}">
          <x14:colorSeries rgb="FF000000"/>
          <x14:sparklines>
            <x14:sparkline>
              <xm:f>'KW Reserarch'!D461:O461</xm:f>
              <xm:sqref>C461</xm:sqref>
            </x14:sparkline>
          </x14:sparklines>
        </x14:sparklineGroup>
        <x14:sparklineGroup displayEmptyCellsAs="gap" xr2:uid="{00000000-0003-0000-0100-0000A1060000}">
          <x14:colorSeries rgb="FF000000"/>
          <x14:sparklines>
            <x14:sparkline>
              <xm:f>'KW Reserarch'!D462:O462</xm:f>
              <xm:sqref>C462</xm:sqref>
            </x14:sparkline>
          </x14:sparklines>
        </x14:sparklineGroup>
        <x14:sparklineGroup displayEmptyCellsAs="gap" xr2:uid="{00000000-0003-0000-0100-0000A2060000}">
          <x14:colorSeries rgb="FF000000"/>
          <x14:sparklines>
            <x14:sparkline>
              <xm:f>'KW Reserarch'!D463:O463</xm:f>
              <xm:sqref>C463</xm:sqref>
            </x14:sparkline>
          </x14:sparklines>
        </x14:sparklineGroup>
        <x14:sparklineGroup displayEmptyCellsAs="gap" xr2:uid="{00000000-0003-0000-0100-0000A3060000}">
          <x14:colorSeries rgb="FF000000"/>
          <x14:sparklines>
            <x14:sparkline>
              <xm:f>'KW Reserarch'!D464:O464</xm:f>
              <xm:sqref>C464</xm:sqref>
            </x14:sparkline>
          </x14:sparklines>
        </x14:sparklineGroup>
        <x14:sparklineGroup displayEmptyCellsAs="gap" xr2:uid="{00000000-0003-0000-0100-0000A4060000}">
          <x14:colorSeries rgb="FF000000"/>
          <x14:sparklines>
            <x14:sparkline>
              <xm:f>'KW Reserarch'!D465:O465</xm:f>
              <xm:sqref>C465</xm:sqref>
            </x14:sparkline>
          </x14:sparklines>
        </x14:sparklineGroup>
        <x14:sparklineGroup displayEmptyCellsAs="gap" xr2:uid="{00000000-0003-0000-0100-0000A5060000}">
          <x14:colorSeries rgb="FF000000"/>
          <x14:sparklines>
            <x14:sparkline>
              <xm:f>'KW Reserarch'!D466:O466</xm:f>
              <xm:sqref>C466</xm:sqref>
            </x14:sparkline>
          </x14:sparklines>
        </x14:sparklineGroup>
        <x14:sparklineGroup displayEmptyCellsAs="gap" xr2:uid="{00000000-0003-0000-0100-0000A6060000}">
          <x14:colorSeries rgb="FF000000"/>
          <x14:sparklines>
            <x14:sparkline>
              <xm:f>'KW Reserarch'!D467:O467</xm:f>
              <xm:sqref>C467</xm:sqref>
            </x14:sparkline>
          </x14:sparklines>
        </x14:sparklineGroup>
        <x14:sparklineGroup displayEmptyCellsAs="gap" xr2:uid="{00000000-0003-0000-0100-0000A7060000}">
          <x14:colorSeries rgb="FF000000"/>
          <x14:sparklines>
            <x14:sparkline>
              <xm:f>'KW Reserarch'!D468:O468</xm:f>
              <xm:sqref>C468</xm:sqref>
            </x14:sparkline>
          </x14:sparklines>
        </x14:sparklineGroup>
        <x14:sparklineGroup displayEmptyCellsAs="gap" xr2:uid="{00000000-0003-0000-0100-0000A8060000}">
          <x14:colorSeries rgb="FF000000"/>
          <x14:sparklines>
            <x14:sparkline>
              <xm:f>'KW Reserarch'!D469:O469</xm:f>
              <xm:sqref>C469</xm:sqref>
            </x14:sparkline>
          </x14:sparklines>
        </x14:sparklineGroup>
        <x14:sparklineGroup displayEmptyCellsAs="gap" xr2:uid="{00000000-0003-0000-0100-0000A9060000}">
          <x14:colorSeries rgb="FF000000"/>
          <x14:sparklines>
            <x14:sparkline>
              <xm:f>'KW Reserarch'!D470:O470</xm:f>
              <xm:sqref>C470</xm:sqref>
            </x14:sparkline>
          </x14:sparklines>
        </x14:sparklineGroup>
        <x14:sparklineGroup displayEmptyCellsAs="gap" xr2:uid="{00000000-0003-0000-0100-0000AA060000}">
          <x14:colorSeries rgb="FF000000"/>
          <x14:sparklines>
            <x14:sparkline>
              <xm:f>'KW Reserarch'!D471:O471</xm:f>
              <xm:sqref>C471</xm:sqref>
            </x14:sparkline>
          </x14:sparklines>
        </x14:sparklineGroup>
        <x14:sparklineGroup displayEmptyCellsAs="gap" xr2:uid="{00000000-0003-0000-0100-0000AB060000}">
          <x14:colorSeries rgb="FF000000"/>
          <x14:sparklines>
            <x14:sparkline>
              <xm:f>'KW Reserarch'!D472:O472</xm:f>
              <xm:sqref>C472</xm:sqref>
            </x14:sparkline>
          </x14:sparklines>
        </x14:sparklineGroup>
        <x14:sparklineGroup displayEmptyCellsAs="gap" xr2:uid="{00000000-0003-0000-0100-0000AC060000}">
          <x14:colorSeries rgb="FF000000"/>
          <x14:sparklines>
            <x14:sparkline>
              <xm:f>'KW Reserarch'!D473:O473</xm:f>
              <xm:sqref>C473</xm:sqref>
            </x14:sparkline>
          </x14:sparklines>
        </x14:sparklineGroup>
        <x14:sparklineGroup displayEmptyCellsAs="gap" xr2:uid="{00000000-0003-0000-0100-0000AD060000}">
          <x14:colorSeries rgb="FF000000"/>
          <x14:sparklines>
            <x14:sparkline>
              <xm:f>'KW Reserarch'!D474:O474</xm:f>
              <xm:sqref>C474</xm:sqref>
            </x14:sparkline>
          </x14:sparklines>
        </x14:sparklineGroup>
        <x14:sparklineGroup displayEmptyCellsAs="gap" xr2:uid="{00000000-0003-0000-0100-0000AE060000}">
          <x14:colorSeries rgb="FF000000"/>
          <x14:sparklines>
            <x14:sparkline>
              <xm:f>'KW Reserarch'!D475:O475</xm:f>
              <xm:sqref>C475</xm:sqref>
            </x14:sparkline>
          </x14:sparklines>
        </x14:sparklineGroup>
        <x14:sparklineGroup displayEmptyCellsAs="gap" xr2:uid="{00000000-0003-0000-0100-0000AF060000}">
          <x14:colorSeries rgb="FF000000"/>
          <x14:sparklines>
            <x14:sparkline>
              <xm:f>'KW Reserarch'!D476:O476</xm:f>
              <xm:sqref>C476</xm:sqref>
            </x14:sparkline>
          </x14:sparklines>
        </x14:sparklineGroup>
        <x14:sparklineGroup displayEmptyCellsAs="gap" xr2:uid="{00000000-0003-0000-0100-0000B0060000}">
          <x14:colorSeries rgb="FF000000"/>
          <x14:sparklines>
            <x14:sparkline>
              <xm:f>'KW Reserarch'!D477:O477</xm:f>
              <xm:sqref>C477</xm:sqref>
            </x14:sparkline>
          </x14:sparklines>
        </x14:sparklineGroup>
        <x14:sparklineGroup displayEmptyCellsAs="gap" xr2:uid="{00000000-0003-0000-0100-0000B1060000}">
          <x14:colorSeries rgb="FF000000"/>
          <x14:sparklines>
            <x14:sparkline>
              <xm:f>'KW Reserarch'!D478:O478</xm:f>
              <xm:sqref>C478</xm:sqref>
            </x14:sparkline>
          </x14:sparklines>
        </x14:sparklineGroup>
        <x14:sparklineGroup displayEmptyCellsAs="gap" xr2:uid="{00000000-0003-0000-0100-0000B2060000}">
          <x14:colorSeries rgb="FF000000"/>
          <x14:sparklines>
            <x14:sparkline>
              <xm:f>'KW Reserarch'!D479:O479</xm:f>
              <xm:sqref>C479</xm:sqref>
            </x14:sparkline>
          </x14:sparklines>
        </x14:sparklineGroup>
        <x14:sparklineGroup displayEmptyCellsAs="gap" xr2:uid="{00000000-0003-0000-0100-0000B3060000}">
          <x14:colorSeries rgb="FF000000"/>
          <x14:sparklines>
            <x14:sparkline>
              <xm:f>'KW Reserarch'!D480:O480</xm:f>
              <xm:sqref>C480</xm:sqref>
            </x14:sparkline>
          </x14:sparklines>
        </x14:sparklineGroup>
        <x14:sparklineGroup displayEmptyCellsAs="gap" xr2:uid="{00000000-0003-0000-0100-0000B4060000}">
          <x14:colorSeries rgb="FF000000"/>
          <x14:sparklines>
            <x14:sparkline>
              <xm:f>'KW Reserarch'!D481:O481</xm:f>
              <xm:sqref>C481</xm:sqref>
            </x14:sparkline>
          </x14:sparklines>
        </x14:sparklineGroup>
        <x14:sparklineGroup displayEmptyCellsAs="gap" xr2:uid="{00000000-0003-0000-0100-0000B5060000}">
          <x14:colorSeries rgb="FF000000"/>
          <x14:sparklines>
            <x14:sparkline>
              <xm:f>'KW Reserarch'!D482:O482</xm:f>
              <xm:sqref>C482</xm:sqref>
            </x14:sparkline>
          </x14:sparklines>
        </x14:sparklineGroup>
        <x14:sparklineGroup displayEmptyCellsAs="gap" xr2:uid="{00000000-0003-0000-0100-0000B6060000}">
          <x14:colorSeries rgb="FF000000"/>
          <x14:sparklines>
            <x14:sparkline>
              <xm:f>'KW Reserarch'!D483:O483</xm:f>
              <xm:sqref>C483</xm:sqref>
            </x14:sparkline>
          </x14:sparklines>
        </x14:sparklineGroup>
        <x14:sparklineGroup displayEmptyCellsAs="gap" xr2:uid="{00000000-0003-0000-0100-0000B7060000}">
          <x14:colorSeries rgb="FF000000"/>
          <x14:sparklines>
            <x14:sparkline>
              <xm:f>'KW Reserarch'!D484:O484</xm:f>
              <xm:sqref>C484</xm:sqref>
            </x14:sparkline>
          </x14:sparklines>
        </x14:sparklineGroup>
        <x14:sparklineGroup displayEmptyCellsAs="gap" xr2:uid="{00000000-0003-0000-0100-0000B8060000}">
          <x14:colorSeries rgb="FF000000"/>
          <x14:sparklines>
            <x14:sparkline>
              <xm:f>'KW Reserarch'!D485:O485</xm:f>
              <xm:sqref>C485</xm:sqref>
            </x14:sparkline>
          </x14:sparklines>
        </x14:sparklineGroup>
        <x14:sparklineGroup displayEmptyCellsAs="gap" xr2:uid="{00000000-0003-0000-0100-0000B9060000}">
          <x14:colorSeries rgb="FF000000"/>
          <x14:sparklines>
            <x14:sparkline>
              <xm:f>'KW Reserarch'!D486:O486</xm:f>
              <xm:sqref>C486</xm:sqref>
            </x14:sparkline>
          </x14:sparklines>
        </x14:sparklineGroup>
        <x14:sparklineGroup displayEmptyCellsAs="gap" xr2:uid="{00000000-0003-0000-0100-0000BA060000}">
          <x14:colorSeries rgb="FF000000"/>
          <x14:sparklines>
            <x14:sparkline>
              <xm:f>'KW Reserarch'!D487:O487</xm:f>
              <xm:sqref>C487</xm:sqref>
            </x14:sparkline>
          </x14:sparklines>
        </x14:sparklineGroup>
        <x14:sparklineGroup displayEmptyCellsAs="gap" xr2:uid="{00000000-0003-0000-0100-0000BB060000}">
          <x14:colorSeries rgb="FF000000"/>
          <x14:sparklines>
            <x14:sparkline>
              <xm:f>'KW Reserarch'!D488:O488</xm:f>
              <xm:sqref>C488</xm:sqref>
            </x14:sparkline>
          </x14:sparklines>
        </x14:sparklineGroup>
        <x14:sparklineGroup displayEmptyCellsAs="gap" xr2:uid="{00000000-0003-0000-0100-0000BC060000}">
          <x14:colorSeries rgb="FF000000"/>
          <x14:sparklines>
            <x14:sparkline>
              <xm:f>'KW Reserarch'!D489:O489</xm:f>
              <xm:sqref>C489</xm:sqref>
            </x14:sparkline>
          </x14:sparklines>
        </x14:sparklineGroup>
        <x14:sparklineGroup displayEmptyCellsAs="gap" xr2:uid="{00000000-0003-0000-0100-0000BD060000}">
          <x14:colorSeries rgb="FF000000"/>
          <x14:sparklines>
            <x14:sparkline>
              <xm:f>'KW Reserarch'!D490:O490</xm:f>
              <xm:sqref>C490</xm:sqref>
            </x14:sparkline>
          </x14:sparklines>
        </x14:sparklineGroup>
        <x14:sparklineGroup displayEmptyCellsAs="gap" xr2:uid="{00000000-0003-0000-0100-0000BE060000}">
          <x14:colorSeries rgb="FF000000"/>
          <x14:sparklines>
            <x14:sparkline>
              <xm:f>'KW Reserarch'!D491:O491</xm:f>
              <xm:sqref>C491</xm:sqref>
            </x14:sparkline>
          </x14:sparklines>
        </x14:sparklineGroup>
        <x14:sparklineGroup displayEmptyCellsAs="gap" xr2:uid="{00000000-0003-0000-0100-0000BF060000}">
          <x14:colorSeries rgb="FF000000"/>
          <x14:sparklines>
            <x14:sparkline>
              <xm:f>'KW Reserarch'!D492:O492</xm:f>
              <xm:sqref>C492</xm:sqref>
            </x14:sparkline>
          </x14:sparklines>
        </x14:sparklineGroup>
        <x14:sparklineGroup displayEmptyCellsAs="gap" xr2:uid="{00000000-0003-0000-0100-0000C0060000}">
          <x14:colorSeries rgb="FF000000"/>
          <x14:sparklines>
            <x14:sparkline>
              <xm:f>'KW Reserarch'!D493:O493</xm:f>
              <xm:sqref>C493</xm:sqref>
            </x14:sparkline>
          </x14:sparklines>
        </x14:sparklineGroup>
        <x14:sparklineGroup displayEmptyCellsAs="gap" xr2:uid="{00000000-0003-0000-0100-0000C1060000}">
          <x14:colorSeries rgb="FF000000"/>
          <x14:sparklines>
            <x14:sparkline>
              <xm:f>'KW Reserarch'!D494:O494</xm:f>
              <xm:sqref>C494</xm:sqref>
            </x14:sparkline>
          </x14:sparklines>
        </x14:sparklineGroup>
        <x14:sparklineGroup displayEmptyCellsAs="gap" xr2:uid="{00000000-0003-0000-0100-0000C2060000}">
          <x14:colorSeries rgb="FF000000"/>
          <x14:sparklines>
            <x14:sparkline>
              <xm:f>'KW Reserarch'!D497:O497</xm:f>
              <xm:sqref>C497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0D07F"/>
    <outlinePr summaryBelow="0" summaryRight="0"/>
  </sheetPr>
  <dimension ref="A1:O681"/>
  <sheetViews>
    <sheetView workbookViewId="0"/>
  </sheetViews>
  <sheetFormatPr baseColWidth="10" defaultColWidth="12.6640625" defaultRowHeight="15.75" customHeight="1" x14ac:dyDescent="0.15"/>
  <cols>
    <col min="1" max="1" width="36.5" customWidth="1"/>
  </cols>
  <sheetData>
    <row r="1" spans="1:15" ht="15.75" customHeight="1" x14ac:dyDescent="0.25">
      <c r="A1" s="7" t="s">
        <v>0</v>
      </c>
      <c r="D1" s="183" t="s">
        <v>632</v>
      </c>
      <c r="E1" s="183" t="s">
        <v>633</v>
      </c>
      <c r="F1" s="183" t="s">
        <v>634</v>
      </c>
      <c r="G1" s="183" t="s">
        <v>635</v>
      </c>
      <c r="H1" s="183" t="s">
        <v>636</v>
      </c>
      <c r="I1" s="183" t="s">
        <v>637</v>
      </c>
      <c r="J1" s="183" t="s">
        <v>638</v>
      </c>
      <c r="K1" s="183" t="s">
        <v>639</v>
      </c>
      <c r="L1" s="183" t="s">
        <v>640</v>
      </c>
      <c r="M1" s="183" t="s">
        <v>641</v>
      </c>
      <c r="N1" s="183" t="s">
        <v>642</v>
      </c>
      <c r="O1" s="183" t="s">
        <v>643</v>
      </c>
    </row>
    <row r="2" spans="1:15" ht="16" x14ac:dyDescent="0.2">
      <c r="A2" s="10" t="s">
        <v>15</v>
      </c>
    </row>
    <row r="3" spans="1:15" ht="16" x14ac:dyDescent="0.2">
      <c r="A3" s="18" t="s">
        <v>16</v>
      </c>
    </row>
    <row r="4" spans="1:15" ht="16" x14ac:dyDescent="0.2">
      <c r="A4" s="18" t="s">
        <v>17</v>
      </c>
    </row>
    <row r="5" spans="1:15" ht="16" x14ac:dyDescent="0.2">
      <c r="A5" s="18" t="s">
        <v>18</v>
      </c>
    </row>
    <row r="6" spans="1:15" ht="16" x14ac:dyDescent="0.2">
      <c r="A6" s="18" t="s">
        <v>19</v>
      </c>
    </row>
    <row r="7" spans="1:15" ht="16" x14ac:dyDescent="0.2">
      <c r="A7" s="18" t="s">
        <v>20</v>
      </c>
    </row>
    <row r="8" spans="1:15" ht="16" x14ac:dyDescent="0.2">
      <c r="A8" s="18" t="s">
        <v>21</v>
      </c>
    </row>
    <row r="9" spans="1:15" ht="16" x14ac:dyDescent="0.2">
      <c r="A9" s="18" t="s">
        <v>22</v>
      </c>
    </row>
    <row r="10" spans="1:15" ht="16" x14ac:dyDescent="0.2">
      <c r="A10" s="18" t="s">
        <v>23</v>
      </c>
    </row>
    <row r="11" spans="1:15" ht="16" x14ac:dyDescent="0.2">
      <c r="A11" s="10" t="s">
        <v>24</v>
      </c>
    </row>
    <row r="12" spans="1:15" ht="16" x14ac:dyDescent="0.2">
      <c r="A12" s="18" t="s">
        <v>26</v>
      </c>
    </row>
    <row r="13" spans="1:15" ht="16" x14ac:dyDescent="0.2">
      <c r="A13" s="18" t="s">
        <v>29</v>
      </c>
    </row>
    <row r="14" spans="1:15" ht="16" x14ac:dyDescent="0.2">
      <c r="A14" s="18" t="s">
        <v>31</v>
      </c>
    </row>
    <row r="15" spans="1:15" ht="16" x14ac:dyDescent="0.2">
      <c r="A15" s="18" t="s">
        <v>32</v>
      </c>
    </row>
    <row r="16" spans="1:15" ht="16" x14ac:dyDescent="0.2">
      <c r="A16" s="10" t="s">
        <v>33</v>
      </c>
    </row>
    <row r="17" spans="1:1" ht="16" x14ac:dyDescent="0.2">
      <c r="A17" s="10" t="s">
        <v>35</v>
      </c>
    </row>
    <row r="18" spans="1:1" ht="16" x14ac:dyDescent="0.2">
      <c r="A18" s="10" t="s">
        <v>36</v>
      </c>
    </row>
    <row r="19" spans="1:1" ht="16" x14ac:dyDescent="0.2">
      <c r="A19" s="10" t="s">
        <v>37</v>
      </c>
    </row>
    <row r="20" spans="1:1" ht="16" x14ac:dyDescent="0.2">
      <c r="A20" s="10" t="s">
        <v>38</v>
      </c>
    </row>
    <row r="21" spans="1:1" ht="16" x14ac:dyDescent="0.2">
      <c r="A21" s="10" t="s">
        <v>39</v>
      </c>
    </row>
    <row r="22" spans="1:1" ht="16" x14ac:dyDescent="0.2">
      <c r="A22" s="10" t="s">
        <v>40</v>
      </c>
    </row>
    <row r="23" spans="1:1" ht="16" x14ac:dyDescent="0.2">
      <c r="A23" s="10" t="s">
        <v>41</v>
      </c>
    </row>
    <row r="24" spans="1:1" ht="16" x14ac:dyDescent="0.2">
      <c r="A24" s="10" t="s">
        <v>42</v>
      </c>
    </row>
    <row r="25" spans="1:1" ht="16" x14ac:dyDescent="0.2">
      <c r="A25" s="10" t="s">
        <v>43</v>
      </c>
    </row>
    <row r="26" spans="1:1" ht="16" x14ac:dyDescent="0.2">
      <c r="A26" s="18" t="s">
        <v>44</v>
      </c>
    </row>
    <row r="27" spans="1:1" ht="16" x14ac:dyDescent="0.2">
      <c r="A27" s="18" t="s">
        <v>45</v>
      </c>
    </row>
    <row r="28" spans="1:1" ht="16" x14ac:dyDescent="0.2">
      <c r="A28" s="18" t="s">
        <v>46</v>
      </c>
    </row>
    <row r="29" spans="1:1" ht="16" x14ac:dyDescent="0.2">
      <c r="A29" s="18" t="s">
        <v>575</v>
      </c>
    </row>
    <row r="30" spans="1:1" ht="16" x14ac:dyDescent="0.2">
      <c r="A30" s="18" t="s">
        <v>48</v>
      </c>
    </row>
    <row r="31" spans="1:1" ht="16" x14ac:dyDescent="0.2">
      <c r="A31" s="10" t="s">
        <v>49</v>
      </c>
    </row>
    <row r="32" spans="1:1" ht="16" x14ac:dyDescent="0.2">
      <c r="A32" s="18" t="s">
        <v>50</v>
      </c>
    </row>
    <row r="33" spans="1:1" ht="16" x14ac:dyDescent="0.2">
      <c r="A33" s="18" t="s">
        <v>51</v>
      </c>
    </row>
    <row r="34" spans="1:1" ht="16" x14ac:dyDescent="0.2">
      <c r="A34" s="10" t="s">
        <v>52</v>
      </c>
    </row>
    <row r="35" spans="1:1" ht="16" x14ac:dyDescent="0.2">
      <c r="A35" s="18" t="s">
        <v>53</v>
      </c>
    </row>
    <row r="36" spans="1:1" ht="16" x14ac:dyDescent="0.2">
      <c r="A36" s="18" t="s">
        <v>54</v>
      </c>
    </row>
    <row r="37" spans="1:1" ht="16" x14ac:dyDescent="0.2">
      <c r="A37" s="18" t="s">
        <v>57</v>
      </c>
    </row>
    <row r="38" spans="1:1" ht="16" x14ac:dyDescent="0.2">
      <c r="A38" s="10" t="s">
        <v>58</v>
      </c>
    </row>
    <row r="39" spans="1:1" ht="16" x14ac:dyDescent="0.2">
      <c r="A39" s="10" t="s">
        <v>59</v>
      </c>
    </row>
    <row r="40" spans="1:1" ht="16" x14ac:dyDescent="0.2">
      <c r="A40" s="10" t="s">
        <v>60</v>
      </c>
    </row>
    <row r="41" spans="1:1" ht="16" x14ac:dyDescent="0.2">
      <c r="A41" s="10" t="s">
        <v>61</v>
      </c>
    </row>
    <row r="42" spans="1:1" ht="16" x14ac:dyDescent="0.2">
      <c r="A42" s="10" t="s">
        <v>62</v>
      </c>
    </row>
    <row r="43" spans="1:1" ht="16" x14ac:dyDescent="0.2">
      <c r="A43" s="18" t="s">
        <v>63</v>
      </c>
    </row>
    <row r="44" spans="1:1" ht="16" x14ac:dyDescent="0.2">
      <c r="A44" s="18" t="s">
        <v>64</v>
      </c>
    </row>
    <row r="45" spans="1:1" ht="16" x14ac:dyDescent="0.2">
      <c r="A45" s="10" t="s">
        <v>65</v>
      </c>
    </row>
    <row r="46" spans="1:1" ht="16" x14ac:dyDescent="0.2">
      <c r="A46" s="18" t="s">
        <v>576</v>
      </c>
    </row>
    <row r="47" spans="1:1" ht="16" x14ac:dyDescent="0.2">
      <c r="A47" s="18" t="s">
        <v>577</v>
      </c>
    </row>
    <row r="48" spans="1:1" ht="16" x14ac:dyDescent="0.2">
      <c r="A48" s="10" t="s">
        <v>66</v>
      </c>
    </row>
    <row r="49" spans="1:1" ht="16" x14ac:dyDescent="0.2">
      <c r="A49" s="10" t="s">
        <v>67</v>
      </c>
    </row>
    <row r="50" spans="1:1" ht="16" x14ac:dyDescent="0.2">
      <c r="A50" s="10" t="s">
        <v>68</v>
      </c>
    </row>
    <row r="51" spans="1:1" ht="16" x14ac:dyDescent="0.2">
      <c r="A51" s="10" t="s">
        <v>69</v>
      </c>
    </row>
    <row r="52" spans="1:1" ht="16" x14ac:dyDescent="0.2">
      <c r="A52" s="18" t="s">
        <v>578</v>
      </c>
    </row>
    <row r="53" spans="1:1" ht="16" x14ac:dyDescent="0.2">
      <c r="A53" s="18" t="s">
        <v>70</v>
      </c>
    </row>
    <row r="54" spans="1:1" ht="16" x14ac:dyDescent="0.2">
      <c r="A54" s="18" t="s">
        <v>72</v>
      </c>
    </row>
    <row r="55" spans="1:1" ht="16" x14ac:dyDescent="0.2">
      <c r="A55" s="18" t="s">
        <v>73</v>
      </c>
    </row>
    <row r="56" spans="1:1" ht="16" x14ac:dyDescent="0.2">
      <c r="A56" s="10" t="s">
        <v>74</v>
      </c>
    </row>
    <row r="57" spans="1:1" ht="16" x14ac:dyDescent="0.2">
      <c r="A57" s="18" t="s">
        <v>75</v>
      </c>
    </row>
    <row r="58" spans="1:1" ht="16" x14ac:dyDescent="0.2">
      <c r="A58" s="18" t="s">
        <v>76</v>
      </c>
    </row>
    <row r="59" spans="1:1" ht="16" x14ac:dyDescent="0.2">
      <c r="A59" s="18" t="s">
        <v>77</v>
      </c>
    </row>
    <row r="60" spans="1:1" ht="16" x14ac:dyDescent="0.2">
      <c r="A60" s="18" t="s">
        <v>78</v>
      </c>
    </row>
    <row r="61" spans="1:1" ht="16" x14ac:dyDescent="0.2">
      <c r="A61" s="18" t="s">
        <v>79</v>
      </c>
    </row>
    <row r="62" spans="1:1" ht="16" x14ac:dyDescent="0.2">
      <c r="A62" s="10" t="s">
        <v>81</v>
      </c>
    </row>
    <row r="63" spans="1:1" ht="16" x14ac:dyDescent="0.2">
      <c r="A63" s="10" t="s">
        <v>82</v>
      </c>
    </row>
    <row r="64" spans="1:1" ht="16" x14ac:dyDescent="0.2">
      <c r="A64" s="10" t="s">
        <v>85</v>
      </c>
    </row>
    <row r="65" spans="1:1" ht="16" x14ac:dyDescent="0.2">
      <c r="A65" s="10" t="s">
        <v>86</v>
      </c>
    </row>
    <row r="66" spans="1:1" ht="16" x14ac:dyDescent="0.2">
      <c r="A66" s="18" t="s">
        <v>87</v>
      </c>
    </row>
    <row r="67" spans="1:1" ht="16" x14ac:dyDescent="0.2">
      <c r="A67" s="18" t="s">
        <v>579</v>
      </c>
    </row>
    <row r="68" spans="1:1" ht="16" x14ac:dyDescent="0.2">
      <c r="A68" s="10" t="s">
        <v>89</v>
      </c>
    </row>
    <row r="69" spans="1:1" ht="16" x14ac:dyDescent="0.2">
      <c r="A69" s="10" t="s">
        <v>580</v>
      </c>
    </row>
    <row r="70" spans="1:1" ht="16" x14ac:dyDescent="0.2">
      <c r="A70" s="10" t="s">
        <v>92</v>
      </c>
    </row>
    <row r="71" spans="1:1" ht="16" x14ac:dyDescent="0.2">
      <c r="A71" s="10" t="s">
        <v>93</v>
      </c>
    </row>
    <row r="72" spans="1:1" ht="16" x14ac:dyDescent="0.2">
      <c r="A72" s="10" t="s">
        <v>581</v>
      </c>
    </row>
    <row r="73" spans="1:1" ht="16" x14ac:dyDescent="0.2">
      <c r="A73" s="10" t="s">
        <v>94</v>
      </c>
    </row>
    <row r="74" spans="1:1" ht="16" x14ac:dyDescent="0.2">
      <c r="A74" s="10" t="s">
        <v>96</v>
      </c>
    </row>
    <row r="75" spans="1:1" ht="16" x14ac:dyDescent="0.2">
      <c r="A75" s="10" t="s">
        <v>582</v>
      </c>
    </row>
    <row r="76" spans="1:1" ht="16" x14ac:dyDescent="0.2">
      <c r="A76" s="10" t="s">
        <v>98</v>
      </c>
    </row>
    <row r="77" spans="1:1" ht="16" x14ac:dyDescent="0.2">
      <c r="A77" s="10" t="s">
        <v>101</v>
      </c>
    </row>
    <row r="78" spans="1:1" ht="16" x14ac:dyDescent="0.2">
      <c r="A78" s="18" t="s">
        <v>102</v>
      </c>
    </row>
    <row r="79" spans="1:1" ht="16" x14ac:dyDescent="0.2">
      <c r="A79" s="18" t="s">
        <v>103</v>
      </c>
    </row>
    <row r="80" spans="1:1" ht="16" x14ac:dyDescent="0.2">
      <c r="A80" s="10" t="s">
        <v>104</v>
      </c>
    </row>
    <row r="81" spans="1:1" ht="16" x14ac:dyDescent="0.2">
      <c r="A81" s="10" t="s">
        <v>105</v>
      </c>
    </row>
    <row r="82" spans="1:1" ht="16" x14ac:dyDescent="0.2">
      <c r="A82" s="10" t="s">
        <v>107</v>
      </c>
    </row>
    <row r="83" spans="1:1" ht="16" x14ac:dyDescent="0.2">
      <c r="A83" s="10" t="s">
        <v>108</v>
      </c>
    </row>
    <row r="84" spans="1:1" ht="16" x14ac:dyDescent="0.2">
      <c r="A84" s="18" t="s">
        <v>109</v>
      </c>
    </row>
    <row r="85" spans="1:1" ht="16" x14ac:dyDescent="0.2">
      <c r="A85" s="18" t="s">
        <v>110</v>
      </c>
    </row>
    <row r="86" spans="1:1" ht="16" x14ac:dyDescent="0.2">
      <c r="A86" s="18" t="s">
        <v>111</v>
      </c>
    </row>
    <row r="87" spans="1:1" ht="16" x14ac:dyDescent="0.2">
      <c r="A87" s="10" t="s">
        <v>112</v>
      </c>
    </row>
    <row r="88" spans="1:1" ht="16" x14ac:dyDescent="0.2">
      <c r="A88" s="10" t="s">
        <v>113</v>
      </c>
    </row>
    <row r="89" spans="1:1" ht="16" x14ac:dyDescent="0.2">
      <c r="A89" s="10" t="s">
        <v>114</v>
      </c>
    </row>
    <row r="90" spans="1:1" ht="16" x14ac:dyDescent="0.2">
      <c r="A90" s="10" t="s">
        <v>116</v>
      </c>
    </row>
    <row r="91" spans="1:1" ht="16" x14ac:dyDescent="0.2">
      <c r="A91" s="18" t="s">
        <v>117</v>
      </c>
    </row>
    <row r="92" spans="1:1" ht="16" x14ac:dyDescent="0.2">
      <c r="A92" s="18" t="s">
        <v>118</v>
      </c>
    </row>
    <row r="93" spans="1:1" ht="16" x14ac:dyDescent="0.2">
      <c r="A93" s="18" t="s">
        <v>119</v>
      </c>
    </row>
    <row r="94" spans="1:1" ht="16" x14ac:dyDescent="0.2">
      <c r="A94" s="18" t="s">
        <v>120</v>
      </c>
    </row>
    <row r="95" spans="1:1" ht="16" x14ac:dyDescent="0.2">
      <c r="A95" s="18" t="s">
        <v>121</v>
      </c>
    </row>
    <row r="96" spans="1:1" ht="16" x14ac:dyDescent="0.2">
      <c r="A96" s="18" t="s">
        <v>122</v>
      </c>
    </row>
    <row r="97" spans="1:1" ht="16" x14ac:dyDescent="0.2">
      <c r="A97" s="18" t="s">
        <v>123</v>
      </c>
    </row>
    <row r="98" spans="1:1" ht="16" x14ac:dyDescent="0.2">
      <c r="A98" s="18" t="s">
        <v>124</v>
      </c>
    </row>
    <row r="99" spans="1:1" ht="16" x14ac:dyDescent="0.2">
      <c r="A99" s="18" t="s">
        <v>125</v>
      </c>
    </row>
    <row r="100" spans="1:1" ht="16" x14ac:dyDescent="0.2">
      <c r="A100" s="18" t="s">
        <v>126</v>
      </c>
    </row>
    <row r="101" spans="1:1" ht="16" x14ac:dyDescent="0.2">
      <c r="A101" s="18" t="s">
        <v>127</v>
      </c>
    </row>
    <row r="102" spans="1:1" ht="16" x14ac:dyDescent="0.2">
      <c r="A102" s="10" t="s">
        <v>129</v>
      </c>
    </row>
    <row r="103" spans="1:1" ht="16" x14ac:dyDescent="0.2">
      <c r="A103" s="18" t="s">
        <v>130</v>
      </c>
    </row>
    <row r="104" spans="1:1" ht="16" x14ac:dyDescent="0.2">
      <c r="A104" s="18" t="s">
        <v>131</v>
      </c>
    </row>
    <row r="105" spans="1:1" ht="16" x14ac:dyDescent="0.2">
      <c r="A105" s="18" t="s">
        <v>132</v>
      </c>
    </row>
    <row r="106" spans="1:1" ht="16" x14ac:dyDescent="0.2">
      <c r="A106" s="18" t="s">
        <v>133</v>
      </c>
    </row>
    <row r="107" spans="1:1" ht="16" x14ac:dyDescent="0.2">
      <c r="A107" s="18" t="s">
        <v>135</v>
      </c>
    </row>
    <row r="108" spans="1:1" ht="16" x14ac:dyDescent="0.2">
      <c r="A108" s="18" t="s">
        <v>138</v>
      </c>
    </row>
    <row r="109" spans="1:1" ht="15" x14ac:dyDescent="0.2">
      <c r="A109" s="89" t="s">
        <v>139</v>
      </c>
    </row>
    <row r="110" spans="1:1" ht="16" x14ac:dyDescent="0.2">
      <c r="A110" s="10" t="s">
        <v>140</v>
      </c>
    </row>
    <row r="111" spans="1:1" ht="16" x14ac:dyDescent="0.2">
      <c r="A111" s="10" t="s">
        <v>141</v>
      </c>
    </row>
    <row r="112" spans="1:1" ht="16" x14ac:dyDescent="0.2">
      <c r="A112" s="10" t="s">
        <v>142</v>
      </c>
    </row>
    <row r="113" spans="1:1" ht="16" x14ac:dyDescent="0.2">
      <c r="A113" s="10" t="s">
        <v>145</v>
      </c>
    </row>
    <row r="114" spans="1:1" ht="16" x14ac:dyDescent="0.2">
      <c r="A114" s="18" t="s">
        <v>146</v>
      </c>
    </row>
    <row r="115" spans="1:1" ht="16" x14ac:dyDescent="0.2">
      <c r="A115" s="18" t="s">
        <v>147</v>
      </c>
    </row>
    <row r="116" spans="1:1" ht="16" x14ac:dyDescent="0.2">
      <c r="A116" s="10" t="s">
        <v>148</v>
      </c>
    </row>
    <row r="117" spans="1:1" ht="16" x14ac:dyDescent="0.2">
      <c r="A117" s="10" t="s">
        <v>149</v>
      </c>
    </row>
    <row r="118" spans="1:1" ht="16" x14ac:dyDescent="0.2">
      <c r="A118" s="10" t="s">
        <v>152</v>
      </c>
    </row>
    <row r="119" spans="1:1" ht="16" x14ac:dyDescent="0.2">
      <c r="A119" s="10" t="s">
        <v>583</v>
      </c>
    </row>
    <row r="120" spans="1:1" ht="16" x14ac:dyDescent="0.2">
      <c r="A120" s="10" t="s">
        <v>153</v>
      </c>
    </row>
    <row r="121" spans="1:1" ht="16" x14ac:dyDescent="0.2">
      <c r="A121" s="10" t="s">
        <v>154</v>
      </c>
    </row>
    <row r="122" spans="1:1" ht="16" x14ac:dyDescent="0.2">
      <c r="A122" s="10" t="s">
        <v>155</v>
      </c>
    </row>
    <row r="123" spans="1:1" ht="16" x14ac:dyDescent="0.2">
      <c r="A123" s="10" t="s">
        <v>156</v>
      </c>
    </row>
    <row r="124" spans="1:1" ht="16" x14ac:dyDescent="0.2">
      <c r="A124" s="10" t="s">
        <v>584</v>
      </c>
    </row>
    <row r="125" spans="1:1" ht="16" x14ac:dyDescent="0.2">
      <c r="A125" s="10" t="s">
        <v>157</v>
      </c>
    </row>
    <row r="126" spans="1:1" ht="16" x14ac:dyDescent="0.2">
      <c r="A126" s="10" t="s">
        <v>158</v>
      </c>
    </row>
    <row r="127" spans="1:1" ht="16" x14ac:dyDescent="0.2">
      <c r="A127" s="10" t="s">
        <v>159</v>
      </c>
    </row>
    <row r="128" spans="1:1" ht="16" x14ac:dyDescent="0.2">
      <c r="A128" s="10" t="s">
        <v>160</v>
      </c>
    </row>
    <row r="129" spans="1:15" ht="16" x14ac:dyDescent="0.2">
      <c r="A129" s="10" t="s">
        <v>161</v>
      </c>
    </row>
    <row r="130" spans="1:15" ht="16" x14ac:dyDescent="0.2">
      <c r="A130" s="10" t="s">
        <v>162</v>
      </c>
    </row>
    <row r="131" spans="1:15" ht="16" x14ac:dyDescent="0.2">
      <c r="A131" s="10" t="s">
        <v>163</v>
      </c>
    </row>
    <row r="132" spans="1:15" ht="16" x14ac:dyDescent="0.2">
      <c r="A132" s="10" t="s">
        <v>164</v>
      </c>
    </row>
    <row r="133" spans="1:15" ht="16" x14ac:dyDescent="0.2">
      <c r="A133" s="10" t="s">
        <v>165</v>
      </c>
    </row>
    <row r="134" spans="1:15" ht="16" x14ac:dyDescent="0.2">
      <c r="A134" s="10" t="s">
        <v>166</v>
      </c>
    </row>
    <row r="135" spans="1:15" ht="16" x14ac:dyDescent="0.2">
      <c r="A135" s="10" t="s">
        <v>167</v>
      </c>
    </row>
    <row r="136" spans="1:15" ht="15" x14ac:dyDescent="0.2">
      <c r="A136" s="89" t="s">
        <v>170</v>
      </c>
    </row>
    <row r="137" spans="1:15" ht="16" x14ac:dyDescent="0.2">
      <c r="A137" s="18" t="s">
        <v>568</v>
      </c>
      <c r="B137" s="183">
        <v>100</v>
      </c>
      <c r="D137" s="183">
        <v>100</v>
      </c>
      <c r="E137" s="183">
        <v>90</v>
      </c>
      <c r="F137" s="183">
        <v>100</v>
      </c>
      <c r="G137" s="183">
        <v>100</v>
      </c>
      <c r="H137" s="183">
        <v>100</v>
      </c>
      <c r="I137" s="183">
        <v>100</v>
      </c>
      <c r="J137" s="183">
        <v>100</v>
      </c>
      <c r="K137" s="183">
        <v>100</v>
      </c>
      <c r="L137" s="183">
        <v>90</v>
      </c>
      <c r="M137" s="183">
        <v>90</v>
      </c>
      <c r="N137" s="183">
        <v>200</v>
      </c>
      <c r="O137" s="183">
        <v>80</v>
      </c>
    </row>
    <row r="138" spans="1:15" ht="16" x14ac:dyDescent="0.2">
      <c r="A138" s="10" t="s">
        <v>176</v>
      </c>
    </row>
    <row r="139" spans="1:15" ht="16" x14ac:dyDescent="0.2">
      <c r="A139" s="10" t="s">
        <v>177</v>
      </c>
    </row>
    <row r="140" spans="1:15" ht="16" x14ac:dyDescent="0.2">
      <c r="A140" s="10" t="s">
        <v>178</v>
      </c>
    </row>
    <row r="141" spans="1:15" ht="16" x14ac:dyDescent="0.2">
      <c r="A141" s="10" t="s">
        <v>179</v>
      </c>
    </row>
    <row r="142" spans="1:15" ht="16" x14ac:dyDescent="0.2">
      <c r="A142" s="10" t="s">
        <v>181</v>
      </c>
    </row>
    <row r="143" spans="1:15" ht="16" x14ac:dyDescent="0.2">
      <c r="A143" s="10" t="s">
        <v>182</v>
      </c>
    </row>
    <row r="144" spans="1:15" ht="16" x14ac:dyDescent="0.2">
      <c r="A144" s="10" t="s">
        <v>184</v>
      </c>
    </row>
    <row r="145" spans="1:15" ht="16" x14ac:dyDescent="0.2">
      <c r="A145" s="10" t="s">
        <v>185</v>
      </c>
    </row>
    <row r="146" spans="1:15" ht="16" x14ac:dyDescent="0.2">
      <c r="A146" s="10" t="s">
        <v>585</v>
      </c>
    </row>
    <row r="147" spans="1:15" ht="16" x14ac:dyDescent="0.2">
      <c r="A147" s="10" t="s">
        <v>188</v>
      </c>
    </row>
    <row r="148" spans="1:15" ht="16" x14ac:dyDescent="0.2">
      <c r="A148" s="18" t="s">
        <v>189</v>
      </c>
    </row>
    <row r="149" spans="1:15" ht="16" x14ac:dyDescent="0.2">
      <c r="A149" s="18" t="s">
        <v>190</v>
      </c>
    </row>
    <row r="150" spans="1:15" ht="16" x14ac:dyDescent="0.2">
      <c r="A150" s="10" t="s">
        <v>571</v>
      </c>
      <c r="B150" s="183">
        <v>80</v>
      </c>
      <c r="D150" s="183">
        <v>70</v>
      </c>
      <c r="E150" s="183">
        <v>70</v>
      </c>
      <c r="F150" s="183">
        <v>70</v>
      </c>
      <c r="G150" s="183">
        <v>80</v>
      </c>
      <c r="H150" s="183">
        <v>90</v>
      </c>
      <c r="I150" s="183">
        <v>80</v>
      </c>
      <c r="J150" s="183">
        <v>100</v>
      </c>
      <c r="K150" s="183">
        <v>60</v>
      </c>
      <c r="L150" s="183">
        <v>60</v>
      </c>
      <c r="M150" s="183">
        <v>60</v>
      </c>
      <c r="N150" s="183">
        <v>40</v>
      </c>
      <c r="O150" s="183">
        <v>50</v>
      </c>
    </row>
    <row r="151" spans="1:15" ht="16" x14ac:dyDescent="0.2">
      <c r="A151" s="10" t="s">
        <v>191</v>
      </c>
    </row>
    <row r="152" spans="1:15" ht="16" x14ac:dyDescent="0.2">
      <c r="A152" s="10" t="s">
        <v>192</v>
      </c>
    </row>
    <row r="153" spans="1:15" ht="16" x14ac:dyDescent="0.2">
      <c r="A153" s="10" t="s">
        <v>193</v>
      </c>
    </row>
    <row r="154" spans="1:15" ht="16" x14ac:dyDescent="0.2">
      <c r="A154" s="10" t="s">
        <v>194</v>
      </c>
    </row>
    <row r="155" spans="1:15" ht="16" x14ac:dyDescent="0.2">
      <c r="A155" s="10" t="s">
        <v>196</v>
      </c>
    </row>
    <row r="156" spans="1:15" ht="16" x14ac:dyDescent="0.2">
      <c r="A156" s="10" t="s">
        <v>197</v>
      </c>
    </row>
    <row r="157" spans="1:15" ht="16" x14ac:dyDescent="0.2">
      <c r="A157" s="10" t="s">
        <v>199</v>
      </c>
    </row>
    <row r="158" spans="1:15" ht="16" x14ac:dyDescent="0.2">
      <c r="A158" s="10" t="s">
        <v>200</v>
      </c>
    </row>
    <row r="159" spans="1:15" ht="16" x14ac:dyDescent="0.2">
      <c r="A159" s="18" t="s">
        <v>201</v>
      </c>
    </row>
    <row r="160" spans="1:15" ht="16" x14ac:dyDescent="0.2">
      <c r="A160" s="18" t="s">
        <v>202</v>
      </c>
    </row>
    <row r="161" spans="1:1" ht="16" x14ac:dyDescent="0.2">
      <c r="A161" s="10" t="s">
        <v>203</v>
      </c>
    </row>
    <row r="162" spans="1:1" ht="16" x14ac:dyDescent="0.2">
      <c r="A162" s="10" t="s">
        <v>205</v>
      </c>
    </row>
    <row r="163" spans="1:1" ht="16" x14ac:dyDescent="0.2">
      <c r="A163" s="10" t="s">
        <v>206</v>
      </c>
    </row>
    <row r="164" spans="1:1" ht="16" x14ac:dyDescent="0.2">
      <c r="A164" s="10" t="s">
        <v>207</v>
      </c>
    </row>
    <row r="165" spans="1:1" ht="16" x14ac:dyDescent="0.2">
      <c r="A165" s="10" t="s">
        <v>209</v>
      </c>
    </row>
    <row r="166" spans="1:1" ht="16" x14ac:dyDescent="0.2">
      <c r="A166" s="10" t="s">
        <v>210</v>
      </c>
    </row>
    <row r="167" spans="1:1" ht="16" x14ac:dyDescent="0.2">
      <c r="A167" s="10" t="s">
        <v>211</v>
      </c>
    </row>
    <row r="168" spans="1:1" ht="16" x14ac:dyDescent="0.2">
      <c r="A168" s="10" t="s">
        <v>212</v>
      </c>
    </row>
    <row r="169" spans="1:1" ht="16" x14ac:dyDescent="0.2">
      <c r="A169" s="10" t="s">
        <v>213</v>
      </c>
    </row>
    <row r="170" spans="1:1" ht="16" x14ac:dyDescent="0.2">
      <c r="A170" s="10" t="s">
        <v>214</v>
      </c>
    </row>
    <row r="171" spans="1:1" ht="16" x14ac:dyDescent="0.2">
      <c r="A171" s="10" t="s">
        <v>215</v>
      </c>
    </row>
    <row r="172" spans="1:1" ht="16" x14ac:dyDescent="0.2">
      <c r="A172" s="10" t="s">
        <v>216</v>
      </c>
    </row>
    <row r="173" spans="1:1" ht="16" x14ac:dyDescent="0.2">
      <c r="A173" s="18" t="s">
        <v>217</v>
      </c>
    </row>
    <row r="174" spans="1:1" ht="16" x14ac:dyDescent="0.2">
      <c r="A174" s="18" t="s">
        <v>218</v>
      </c>
    </row>
    <row r="175" spans="1:1" ht="16" x14ac:dyDescent="0.2">
      <c r="A175" s="10" t="s">
        <v>219</v>
      </c>
    </row>
    <row r="176" spans="1:1" ht="16" x14ac:dyDescent="0.2">
      <c r="A176" s="10" t="s">
        <v>222</v>
      </c>
    </row>
    <row r="177" spans="1:1" ht="16" x14ac:dyDescent="0.2">
      <c r="A177" s="10" t="s">
        <v>226</v>
      </c>
    </row>
    <row r="178" spans="1:1" ht="16" x14ac:dyDescent="0.2">
      <c r="A178" s="10" t="s">
        <v>227</v>
      </c>
    </row>
    <row r="179" spans="1:1" ht="16" x14ac:dyDescent="0.2">
      <c r="A179" s="18" t="s">
        <v>228</v>
      </c>
    </row>
    <row r="180" spans="1:1" ht="16" x14ac:dyDescent="0.2">
      <c r="A180" s="18" t="s">
        <v>229</v>
      </c>
    </row>
    <row r="181" spans="1:1" ht="16" x14ac:dyDescent="0.2">
      <c r="A181" s="18" t="s">
        <v>230</v>
      </c>
    </row>
    <row r="182" spans="1:1" ht="16" x14ac:dyDescent="0.2">
      <c r="A182" s="18" t="s">
        <v>231</v>
      </c>
    </row>
    <row r="183" spans="1:1" ht="16" x14ac:dyDescent="0.2">
      <c r="A183" s="10" t="s">
        <v>232</v>
      </c>
    </row>
    <row r="184" spans="1:1" ht="16" x14ac:dyDescent="0.2">
      <c r="A184" s="10" t="s">
        <v>233</v>
      </c>
    </row>
    <row r="185" spans="1:1" ht="16" x14ac:dyDescent="0.2">
      <c r="A185" s="10" t="s">
        <v>234</v>
      </c>
    </row>
    <row r="186" spans="1:1" ht="16" x14ac:dyDescent="0.2">
      <c r="A186" s="18" t="s">
        <v>236</v>
      </c>
    </row>
    <row r="187" spans="1:1" ht="16" x14ac:dyDescent="0.2">
      <c r="A187" s="18" t="s">
        <v>237</v>
      </c>
    </row>
    <row r="188" spans="1:1" ht="16" x14ac:dyDescent="0.2">
      <c r="A188" s="18" t="s">
        <v>238</v>
      </c>
    </row>
    <row r="189" spans="1:1" ht="16" x14ac:dyDescent="0.2">
      <c r="A189" s="18" t="s">
        <v>239</v>
      </c>
    </row>
    <row r="190" spans="1:1" ht="16" x14ac:dyDescent="0.2">
      <c r="A190" s="18" t="s">
        <v>240</v>
      </c>
    </row>
    <row r="191" spans="1:1" ht="16" x14ac:dyDescent="0.2">
      <c r="A191" s="10" t="s">
        <v>241</v>
      </c>
    </row>
    <row r="192" spans="1:1" ht="16" x14ac:dyDescent="0.2">
      <c r="A192" s="10" t="s">
        <v>242</v>
      </c>
    </row>
    <row r="193" spans="1:15" ht="16" x14ac:dyDescent="0.2">
      <c r="A193" s="10" t="s">
        <v>244</v>
      </c>
    </row>
    <row r="194" spans="1:15" ht="16" x14ac:dyDescent="0.2">
      <c r="A194" s="10" t="s">
        <v>245</v>
      </c>
    </row>
    <row r="195" spans="1:15" ht="16" x14ac:dyDescent="0.2">
      <c r="A195" s="10" t="s">
        <v>248</v>
      </c>
    </row>
    <row r="196" spans="1:15" ht="16" x14ac:dyDescent="0.2">
      <c r="A196" s="10" t="s">
        <v>250</v>
      </c>
    </row>
    <row r="197" spans="1:15" ht="16" x14ac:dyDescent="0.2">
      <c r="A197" s="10" t="s">
        <v>253</v>
      </c>
    </row>
    <row r="198" spans="1:15" ht="16" x14ac:dyDescent="0.2">
      <c r="A198" s="10" t="s">
        <v>254</v>
      </c>
    </row>
    <row r="199" spans="1:15" ht="16" x14ac:dyDescent="0.2">
      <c r="A199" s="10" t="s">
        <v>569</v>
      </c>
      <c r="B199" s="183">
        <v>40</v>
      </c>
      <c r="D199" s="183">
        <v>60</v>
      </c>
      <c r="E199" s="183">
        <v>30</v>
      </c>
      <c r="F199" s="183">
        <v>40</v>
      </c>
      <c r="G199" s="183">
        <v>30</v>
      </c>
      <c r="H199" s="183">
        <v>50</v>
      </c>
      <c r="I199" s="183">
        <v>70</v>
      </c>
      <c r="J199" s="183">
        <v>40</v>
      </c>
      <c r="K199" s="183">
        <v>30</v>
      </c>
      <c r="L199" s="183">
        <v>30</v>
      </c>
      <c r="M199" s="183">
        <v>30</v>
      </c>
      <c r="N199" s="183">
        <v>80</v>
      </c>
      <c r="O199" s="183">
        <v>30</v>
      </c>
    </row>
    <row r="200" spans="1:15" ht="16" x14ac:dyDescent="0.2">
      <c r="A200" s="10" t="s">
        <v>586</v>
      </c>
    </row>
    <row r="201" spans="1:15" ht="16" x14ac:dyDescent="0.2">
      <c r="A201" s="10" t="s">
        <v>255</v>
      </c>
    </row>
    <row r="202" spans="1:15" ht="16" x14ac:dyDescent="0.2">
      <c r="A202" s="10" t="s">
        <v>256</v>
      </c>
    </row>
    <row r="203" spans="1:15" ht="16" x14ac:dyDescent="0.2">
      <c r="A203" s="18" t="s">
        <v>257</v>
      </c>
    </row>
    <row r="204" spans="1:15" ht="16" x14ac:dyDescent="0.2">
      <c r="A204" s="18" t="s">
        <v>258</v>
      </c>
    </row>
    <row r="205" spans="1:15" ht="16" x14ac:dyDescent="0.2">
      <c r="A205" s="18" t="s">
        <v>259</v>
      </c>
    </row>
    <row r="206" spans="1:15" ht="16" x14ac:dyDescent="0.2">
      <c r="A206" s="18" t="s">
        <v>263</v>
      </c>
    </row>
    <row r="207" spans="1:15" ht="16" x14ac:dyDescent="0.2">
      <c r="A207" s="10" t="s">
        <v>264</v>
      </c>
    </row>
    <row r="208" spans="1:15" ht="16" x14ac:dyDescent="0.2">
      <c r="A208" s="10" t="s">
        <v>570</v>
      </c>
      <c r="B208" s="183">
        <v>40</v>
      </c>
      <c r="D208" s="183">
        <v>60</v>
      </c>
      <c r="E208" s="183">
        <v>40</v>
      </c>
      <c r="F208" s="183">
        <v>30</v>
      </c>
      <c r="G208" s="183">
        <v>30</v>
      </c>
      <c r="H208" s="183">
        <v>60</v>
      </c>
      <c r="I208" s="183">
        <v>60</v>
      </c>
      <c r="J208" s="183">
        <v>40</v>
      </c>
      <c r="K208" s="183">
        <v>40</v>
      </c>
      <c r="L208" s="183">
        <v>70</v>
      </c>
      <c r="M208" s="183">
        <v>50</v>
      </c>
      <c r="N208" s="183">
        <v>30</v>
      </c>
      <c r="O208" s="183">
        <v>60</v>
      </c>
    </row>
    <row r="209" spans="1:1" ht="16" x14ac:dyDescent="0.2">
      <c r="A209" s="10" t="s">
        <v>267</v>
      </c>
    </row>
    <row r="210" spans="1:1" ht="16" x14ac:dyDescent="0.2">
      <c r="A210" s="10" t="s">
        <v>268</v>
      </c>
    </row>
    <row r="211" spans="1:1" ht="16" x14ac:dyDescent="0.2">
      <c r="A211" s="10" t="s">
        <v>269</v>
      </c>
    </row>
    <row r="212" spans="1:1" ht="16" x14ac:dyDescent="0.2">
      <c r="A212" s="10" t="s">
        <v>270</v>
      </c>
    </row>
    <row r="213" spans="1:1" ht="16" x14ac:dyDescent="0.2">
      <c r="A213" s="18" t="s">
        <v>271</v>
      </c>
    </row>
    <row r="214" spans="1:1" ht="16" x14ac:dyDescent="0.2">
      <c r="A214" s="18" t="s">
        <v>273</v>
      </c>
    </row>
    <row r="215" spans="1:1" ht="16" x14ac:dyDescent="0.2">
      <c r="A215" s="10" t="s">
        <v>274</v>
      </c>
    </row>
    <row r="216" spans="1:1" ht="16" x14ac:dyDescent="0.2">
      <c r="A216" s="10" t="s">
        <v>275</v>
      </c>
    </row>
    <row r="217" spans="1:1" ht="16" x14ac:dyDescent="0.2">
      <c r="A217" s="10" t="s">
        <v>276</v>
      </c>
    </row>
    <row r="218" spans="1:1" ht="16" x14ac:dyDescent="0.2">
      <c r="A218" s="18" t="s">
        <v>281</v>
      </c>
    </row>
    <row r="219" spans="1:1" ht="16" x14ac:dyDescent="0.2">
      <c r="A219" s="18" t="s">
        <v>282</v>
      </c>
    </row>
    <row r="220" spans="1:1" ht="16" x14ac:dyDescent="0.2">
      <c r="A220" s="10" t="s">
        <v>284</v>
      </c>
    </row>
    <row r="221" spans="1:1" ht="16" x14ac:dyDescent="0.2">
      <c r="A221" s="10" t="s">
        <v>285</v>
      </c>
    </row>
    <row r="222" spans="1:1" ht="16" x14ac:dyDescent="0.2">
      <c r="A222" s="10" t="s">
        <v>286</v>
      </c>
    </row>
    <row r="223" spans="1:1" ht="16" x14ac:dyDescent="0.2">
      <c r="A223" s="10" t="s">
        <v>287</v>
      </c>
    </row>
    <row r="224" spans="1:1" ht="16" x14ac:dyDescent="0.2">
      <c r="A224" s="18" t="s">
        <v>288</v>
      </c>
    </row>
    <row r="225" spans="1:1" ht="16" x14ac:dyDescent="0.2">
      <c r="A225" s="18" t="s">
        <v>289</v>
      </c>
    </row>
    <row r="226" spans="1:1" ht="16" x14ac:dyDescent="0.2">
      <c r="A226" s="10" t="s">
        <v>290</v>
      </c>
    </row>
    <row r="227" spans="1:1" ht="16" x14ac:dyDescent="0.2">
      <c r="A227" s="10" t="s">
        <v>291</v>
      </c>
    </row>
    <row r="228" spans="1:1" ht="16" x14ac:dyDescent="0.2">
      <c r="A228" s="10" t="s">
        <v>292</v>
      </c>
    </row>
    <row r="229" spans="1:1" ht="16" x14ac:dyDescent="0.2">
      <c r="A229" s="10" t="s">
        <v>293</v>
      </c>
    </row>
    <row r="230" spans="1:1" ht="16" x14ac:dyDescent="0.2">
      <c r="A230" s="10" t="s">
        <v>294</v>
      </c>
    </row>
    <row r="231" spans="1:1" ht="16" x14ac:dyDescent="0.2">
      <c r="A231" s="10" t="s">
        <v>295</v>
      </c>
    </row>
    <row r="232" spans="1:1" ht="16" x14ac:dyDescent="0.2">
      <c r="A232" s="10" t="s">
        <v>297</v>
      </c>
    </row>
    <row r="233" spans="1:1" ht="16" x14ac:dyDescent="0.2">
      <c r="A233" s="10" t="s">
        <v>298</v>
      </c>
    </row>
    <row r="234" spans="1:1" ht="16" x14ac:dyDescent="0.2">
      <c r="A234" s="10" t="s">
        <v>300</v>
      </c>
    </row>
    <row r="235" spans="1:1" ht="16" x14ac:dyDescent="0.2">
      <c r="A235" s="10" t="s">
        <v>301</v>
      </c>
    </row>
    <row r="236" spans="1:1" ht="15" x14ac:dyDescent="0.2">
      <c r="A236" s="167" t="s">
        <v>303</v>
      </c>
    </row>
    <row r="237" spans="1:1" ht="16" x14ac:dyDescent="0.2">
      <c r="A237" s="10" t="s">
        <v>304</v>
      </c>
    </row>
    <row r="238" spans="1:1" ht="16" x14ac:dyDescent="0.2">
      <c r="A238" s="10" t="s">
        <v>305</v>
      </c>
    </row>
    <row r="239" spans="1:1" ht="16" x14ac:dyDescent="0.2">
      <c r="A239" s="10" t="s">
        <v>306</v>
      </c>
    </row>
    <row r="240" spans="1:1" ht="16" x14ac:dyDescent="0.2">
      <c r="A240" s="10" t="s">
        <v>307</v>
      </c>
    </row>
    <row r="241" spans="1:1" ht="16" x14ac:dyDescent="0.2">
      <c r="A241" s="10" t="s">
        <v>308</v>
      </c>
    </row>
    <row r="242" spans="1:1" ht="16" x14ac:dyDescent="0.2">
      <c r="A242" s="10" t="s">
        <v>309</v>
      </c>
    </row>
    <row r="243" spans="1:1" ht="16" x14ac:dyDescent="0.2">
      <c r="A243" s="10" t="s">
        <v>310</v>
      </c>
    </row>
    <row r="244" spans="1:1" ht="16" x14ac:dyDescent="0.2">
      <c r="A244" s="10" t="s">
        <v>311</v>
      </c>
    </row>
    <row r="245" spans="1:1" ht="16" x14ac:dyDescent="0.2">
      <c r="A245" s="10" t="s">
        <v>312</v>
      </c>
    </row>
    <row r="246" spans="1:1" ht="16" x14ac:dyDescent="0.2">
      <c r="A246" s="10" t="s">
        <v>587</v>
      </c>
    </row>
    <row r="247" spans="1:1" ht="16" x14ac:dyDescent="0.2">
      <c r="A247" s="10" t="s">
        <v>313</v>
      </c>
    </row>
    <row r="248" spans="1:1" ht="16" x14ac:dyDescent="0.2">
      <c r="A248" s="10" t="s">
        <v>315</v>
      </c>
    </row>
    <row r="249" spans="1:1" ht="16" x14ac:dyDescent="0.2">
      <c r="A249" s="18" t="s">
        <v>316</v>
      </c>
    </row>
    <row r="250" spans="1:1" ht="16" x14ac:dyDescent="0.2">
      <c r="A250" s="18" t="s">
        <v>318</v>
      </c>
    </row>
    <row r="251" spans="1:1" ht="16" x14ac:dyDescent="0.2">
      <c r="A251" s="10" t="s">
        <v>319</v>
      </c>
    </row>
    <row r="252" spans="1:1" ht="16" x14ac:dyDescent="0.2">
      <c r="A252" s="10" t="s">
        <v>322</v>
      </c>
    </row>
    <row r="253" spans="1:1" ht="16" x14ac:dyDescent="0.2">
      <c r="A253" s="10" t="s">
        <v>324</v>
      </c>
    </row>
    <row r="254" spans="1:1" ht="16" x14ac:dyDescent="0.2">
      <c r="A254" s="10" t="s">
        <v>325</v>
      </c>
    </row>
    <row r="255" spans="1:1" ht="16" x14ac:dyDescent="0.2">
      <c r="A255" s="10" t="s">
        <v>326</v>
      </c>
    </row>
    <row r="256" spans="1:1" ht="16" x14ac:dyDescent="0.2">
      <c r="A256" s="18" t="s">
        <v>327</v>
      </c>
    </row>
    <row r="257" spans="1:1" ht="16" x14ac:dyDescent="0.2">
      <c r="A257" s="18" t="s">
        <v>328</v>
      </c>
    </row>
    <row r="258" spans="1:1" ht="16" x14ac:dyDescent="0.2">
      <c r="A258" s="10" t="s">
        <v>329</v>
      </c>
    </row>
    <row r="259" spans="1:1" ht="16" x14ac:dyDescent="0.2">
      <c r="A259" s="18" t="s">
        <v>330</v>
      </c>
    </row>
    <row r="260" spans="1:1" ht="16" x14ac:dyDescent="0.2">
      <c r="A260" s="18" t="s">
        <v>331</v>
      </c>
    </row>
    <row r="261" spans="1:1" ht="16" x14ac:dyDescent="0.2">
      <c r="A261" s="10" t="s">
        <v>332</v>
      </c>
    </row>
    <row r="262" spans="1:1" ht="16" x14ac:dyDescent="0.2">
      <c r="A262" s="10" t="s">
        <v>334</v>
      </c>
    </row>
    <row r="263" spans="1:1" ht="16" x14ac:dyDescent="0.2">
      <c r="A263" s="10" t="s">
        <v>335</v>
      </c>
    </row>
    <row r="264" spans="1:1" ht="16" x14ac:dyDescent="0.2">
      <c r="A264" s="10" t="s">
        <v>336</v>
      </c>
    </row>
    <row r="265" spans="1:1" ht="16" x14ac:dyDescent="0.2">
      <c r="A265" s="10" t="s">
        <v>337</v>
      </c>
    </row>
    <row r="266" spans="1:1" ht="16" x14ac:dyDescent="0.2">
      <c r="A266" s="173" t="s">
        <v>338</v>
      </c>
    </row>
    <row r="267" spans="1:1" ht="16" x14ac:dyDescent="0.2">
      <c r="A267" s="10" t="s">
        <v>339</v>
      </c>
    </row>
    <row r="268" spans="1:1" ht="16" x14ac:dyDescent="0.2">
      <c r="A268" s="10" t="s">
        <v>342</v>
      </c>
    </row>
    <row r="269" spans="1:1" ht="16" x14ac:dyDescent="0.2">
      <c r="A269" s="10" t="s">
        <v>344</v>
      </c>
    </row>
    <row r="270" spans="1:1" ht="16" x14ac:dyDescent="0.2">
      <c r="A270" s="18" t="s">
        <v>345</v>
      </c>
    </row>
    <row r="271" spans="1:1" ht="15" x14ac:dyDescent="0.2">
      <c r="A271" s="89" t="s">
        <v>346</v>
      </c>
    </row>
    <row r="272" spans="1:1" ht="16" x14ac:dyDescent="0.2">
      <c r="A272" s="10" t="s">
        <v>347</v>
      </c>
    </row>
    <row r="273" spans="1:1" ht="16" x14ac:dyDescent="0.2">
      <c r="A273" s="10" t="s">
        <v>348</v>
      </c>
    </row>
    <row r="274" spans="1:1" ht="16" x14ac:dyDescent="0.2">
      <c r="A274" s="18" t="s">
        <v>349</v>
      </c>
    </row>
    <row r="275" spans="1:1" ht="16" x14ac:dyDescent="0.2">
      <c r="A275" s="18" t="s">
        <v>350</v>
      </c>
    </row>
    <row r="276" spans="1:1" ht="16" x14ac:dyDescent="0.2">
      <c r="A276" s="10" t="s">
        <v>351</v>
      </c>
    </row>
    <row r="277" spans="1:1" ht="16" x14ac:dyDescent="0.2">
      <c r="A277" s="10" t="s">
        <v>352</v>
      </c>
    </row>
    <row r="278" spans="1:1" ht="16" x14ac:dyDescent="0.2">
      <c r="A278" s="10" t="s">
        <v>354</v>
      </c>
    </row>
    <row r="279" spans="1:1" ht="16" x14ac:dyDescent="0.2">
      <c r="A279" s="10" t="s">
        <v>355</v>
      </c>
    </row>
    <row r="280" spans="1:1" ht="16" x14ac:dyDescent="0.2">
      <c r="A280" s="10" t="s">
        <v>356</v>
      </c>
    </row>
    <row r="281" spans="1:1" ht="16" x14ac:dyDescent="0.2">
      <c r="A281" s="18" t="s">
        <v>357</v>
      </c>
    </row>
    <row r="282" spans="1:1" ht="16" x14ac:dyDescent="0.2">
      <c r="A282" s="18" t="s">
        <v>358</v>
      </c>
    </row>
    <row r="283" spans="1:1" ht="16" x14ac:dyDescent="0.2">
      <c r="A283" s="18" t="s">
        <v>359</v>
      </c>
    </row>
    <row r="284" spans="1:1" ht="16" x14ac:dyDescent="0.2">
      <c r="A284" s="18" t="s">
        <v>360</v>
      </c>
    </row>
    <row r="285" spans="1:1" ht="16" x14ac:dyDescent="0.2">
      <c r="A285" s="18" t="s">
        <v>361</v>
      </c>
    </row>
    <row r="286" spans="1:1" ht="15" x14ac:dyDescent="0.2">
      <c r="A286" s="89" t="s">
        <v>362</v>
      </c>
    </row>
    <row r="287" spans="1:1" ht="16" x14ac:dyDescent="0.2">
      <c r="A287" s="10" t="s">
        <v>363</v>
      </c>
    </row>
    <row r="288" spans="1:1" ht="16" x14ac:dyDescent="0.2">
      <c r="A288" s="10" t="s">
        <v>364</v>
      </c>
    </row>
    <row r="289" spans="1:1" ht="16" x14ac:dyDescent="0.2">
      <c r="A289" s="10" t="s">
        <v>365</v>
      </c>
    </row>
    <row r="290" spans="1:1" ht="16" x14ac:dyDescent="0.2">
      <c r="A290" s="10" t="s">
        <v>366</v>
      </c>
    </row>
    <row r="291" spans="1:1" ht="16" x14ac:dyDescent="0.2">
      <c r="A291" s="10" t="s">
        <v>367</v>
      </c>
    </row>
    <row r="292" spans="1:1" ht="16" x14ac:dyDescent="0.2">
      <c r="A292" s="10" t="s">
        <v>368</v>
      </c>
    </row>
    <row r="293" spans="1:1" ht="16" x14ac:dyDescent="0.2">
      <c r="A293" s="10" t="s">
        <v>369</v>
      </c>
    </row>
    <row r="294" spans="1:1" ht="16" x14ac:dyDescent="0.2">
      <c r="A294" s="10" t="s">
        <v>370</v>
      </c>
    </row>
    <row r="295" spans="1:1" ht="16" x14ac:dyDescent="0.2">
      <c r="A295" s="10" t="s">
        <v>371</v>
      </c>
    </row>
    <row r="296" spans="1:1" ht="16" x14ac:dyDescent="0.2">
      <c r="A296" s="10" t="s">
        <v>372</v>
      </c>
    </row>
    <row r="297" spans="1:1" ht="16" x14ac:dyDescent="0.2">
      <c r="A297" s="10" t="s">
        <v>373</v>
      </c>
    </row>
    <row r="298" spans="1:1" ht="15" x14ac:dyDescent="0.2">
      <c r="A298" s="167" t="s">
        <v>375</v>
      </c>
    </row>
    <row r="299" spans="1:1" ht="16" x14ac:dyDescent="0.2">
      <c r="A299" s="10" t="s">
        <v>376</v>
      </c>
    </row>
    <row r="300" spans="1:1" ht="16" x14ac:dyDescent="0.2">
      <c r="A300" s="10" t="s">
        <v>377</v>
      </c>
    </row>
    <row r="301" spans="1:1" ht="16" x14ac:dyDescent="0.2">
      <c r="A301" s="10" t="s">
        <v>378</v>
      </c>
    </row>
    <row r="302" spans="1:1" ht="16" x14ac:dyDescent="0.2">
      <c r="A302" s="18" t="s">
        <v>379</v>
      </c>
    </row>
    <row r="303" spans="1:1" ht="16" x14ac:dyDescent="0.2">
      <c r="A303" s="18" t="s">
        <v>380</v>
      </c>
    </row>
    <row r="304" spans="1:1" ht="16" x14ac:dyDescent="0.2">
      <c r="A304" s="10" t="s">
        <v>381</v>
      </c>
    </row>
    <row r="305" spans="1:1" ht="16" x14ac:dyDescent="0.2">
      <c r="A305" s="10" t="s">
        <v>382</v>
      </c>
    </row>
    <row r="306" spans="1:1" ht="16" x14ac:dyDescent="0.2">
      <c r="A306" s="10" t="s">
        <v>383</v>
      </c>
    </row>
    <row r="307" spans="1:1" ht="16" x14ac:dyDescent="0.2">
      <c r="A307" s="10" t="s">
        <v>384</v>
      </c>
    </row>
    <row r="308" spans="1:1" ht="16" x14ac:dyDescent="0.2">
      <c r="A308" s="18" t="s">
        <v>385</v>
      </c>
    </row>
    <row r="309" spans="1:1" ht="16" x14ac:dyDescent="0.2">
      <c r="A309" s="18" t="s">
        <v>386</v>
      </c>
    </row>
    <row r="310" spans="1:1" ht="16" x14ac:dyDescent="0.2">
      <c r="A310" s="10" t="s">
        <v>387</v>
      </c>
    </row>
    <row r="311" spans="1:1" ht="16" x14ac:dyDescent="0.2">
      <c r="A311" s="10" t="s">
        <v>388</v>
      </c>
    </row>
    <row r="312" spans="1:1" ht="16" x14ac:dyDescent="0.2">
      <c r="A312" s="10" t="s">
        <v>389</v>
      </c>
    </row>
    <row r="313" spans="1:1" ht="16" x14ac:dyDescent="0.2">
      <c r="A313" s="10" t="s">
        <v>390</v>
      </c>
    </row>
    <row r="314" spans="1:1" ht="16" x14ac:dyDescent="0.2">
      <c r="A314" s="10" t="s">
        <v>391</v>
      </c>
    </row>
    <row r="315" spans="1:1" ht="16" x14ac:dyDescent="0.2">
      <c r="A315" s="10" t="s">
        <v>392</v>
      </c>
    </row>
    <row r="316" spans="1:1" ht="16" x14ac:dyDescent="0.2">
      <c r="A316" s="10" t="s">
        <v>393</v>
      </c>
    </row>
    <row r="317" spans="1:1" ht="16" x14ac:dyDescent="0.2">
      <c r="A317" s="10" t="s">
        <v>394</v>
      </c>
    </row>
    <row r="318" spans="1:1" ht="16" x14ac:dyDescent="0.2">
      <c r="A318" s="10" t="s">
        <v>395</v>
      </c>
    </row>
    <row r="319" spans="1:1" ht="16" x14ac:dyDescent="0.2">
      <c r="A319" s="10" t="s">
        <v>396</v>
      </c>
    </row>
    <row r="320" spans="1:1" ht="16" x14ac:dyDescent="0.2">
      <c r="A320" s="10" t="s">
        <v>397</v>
      </c>
    </row>
    <row r="321" spans="1:1" ht="16" x14ac:dyDescent="0.2">
      <c r="A321" s="10" t="s">
        <v>398</v>
      </c>
    </row>
    <row r="322" spans="1:1" ht="16" x14ac:dyDescent="0.2">
      <c r="A322" s="10" t="s">
        <v>399</v>
      </c>
    </row>
    <row r="323" spans="1:1" ht="16" x14ac:dyDescent="0.2">
      <c r="A323" s="10" t="s">
        <v>400</v>
      </c>
    </row>
    <row r="324" spans="1:1" ht="16" x14ac:dyDescent="0.2">
      <c r="A324" s="10" t="s">
        <v>401</v>
      </c>
    </row>
    <row r="325" spans="1:1" ht="16" x14ac:dyDescent="0.2">
      <c r="A325" s="10" t="s">
        <v>402</v>
      </c>
    </row>
    <row r="326" spans="1:1" ht="16" x14ac:dyDescent="0.2">
      <c r="A326" s="10" t="s">
        <v>403</v>
      </c>
    </row>
    <row r="327" spans="1:1" ht="16" x14ac:dyDescent="0.2">
      <c r="A327" s="10" t="s">
        <v>404</v>
      </c>
    </row>
    <row r="328" spans="1:1" ht="16" x14ac:dyDescent="0.2">
      <c r="A328" s="18" t="s">
        <v>405</v>
      </c>
    </row>
    <row r="329" spans="1:1" ht="16" x14ac:dyDescent="0.2">
      <c r="A329" s="18" t="s">
        <v>406</v>
      </c>
    </row>
    <row r="330" spans="1:1" ht="16" x14ac:dyDescent="0.2">
      <c r="A330" s="10" t="s">
        <v>407</v>
      </c>
    </row>
    <row r="331" spans="1:1" ht="16" x14ac:dyDescent="0.2">
      <c r="A331" s="10" t="s">
        <v>408</v>
      </c>
    </row>
    <row r="332" spans="1:1" ht="16" x14ac:dyDescent="0.2">
      <c r="A332" s="10" t="s">
        <v>409</v>
      </c>
    </row>
    <row r="333" spans="1:1" ht="16" x14ac:dyDescent="0.2">
      <c r="A333" s="10" t="s">
        <v>410</v>
      </c>
    </row>
    <row r="334" spans="1:1" ht="16" x14ac:dyDescent="0.2">
      <c r="A334" s="10" t="s">
        <v>411</v>
      </c>
    </row>
    <row r="335" spans="1:1" ht="16" x14ac:dyDescent="0.2">
      <c r="A335" s="10" t="s">
        <v>412</v>
      </c>
    </row>
    <row r="336" spans="1:1" ht="16" x14ac:dyDescent="0.2">
      <c r="A336" s="10" t="s">
        <v>413</v>
      </c>
    </row>
    <row r="337" spans="1:1" ht="16" x14ac:dyDescent="0.2">
      <c r="A337" s="10" t="s">
        <v>414</v>
      </c>
    </row>
    <row r="338" spans="1:1" ht="16" x14ac:dyDescent="0.2">
      <c r="A338" s="10" t="s">
        <v>415</v>
      </c>
    </row>
    <row r="339" spans="1:1" ht="16" x14ac:dyDescent="0.2">
      <c r="A339" s="10" t="s">
        <v>416</v>
      </c>
    </row>
    <row r="340" spans="1:1" ht="16" x14ac:dyDescent="0.2">
      <c r="A340" s="10" t="s">
        <v>417</v>
      </c>
    </row>
    <row r="341" spans="1:1" ht="16" x14ac:dyDescent="0.2">
      <c r="A341" s="10" t="s">
        <v>418</v>
      </c>
    </row>
    <row r="342" spans="1:1" ht="16" x14ac:dyDescent="0.2">
      <c r="A342" s="18" t="s">
        <v>419</v>
      </c>
    </row>
    <row r="343" spans="1:1" ht="16" x14ac:dyDescent="0.2">
      <c r="A343" s="18" t="s">
        <v>420</v>
      </c>
    </row>
    <row r="344" spans="1:1" ht="16" x14ac:dyDescent="0.2">
      <c r="A344" s="18" t="s">
        <v>421</v>
      </c>
    </row>
    <row r="345" spans="1:1" ht="16" x14ac:dyDescent="0.2">
      <c r="A345" s="10" t="s">
        <v>422</v>
      </c>
    </row>
    <row r="346" spans="1:1" ht="16" x14ac:dyDescent="0.2">
      <c r="A346" s="10" t="s">
        <v>423</v>
      </c>
    </row>
    <row r="347" spans="1:1" ht="16" x14ac:dyDescent="0.2">
      <c r="A347" s="10" t="s">
        <v>424</v>
      </c>
    </row>
    <row r="348" spans="1:1" ht="16" x14ac:dyDescent="0.2">
      <c r="A348" s="10" t="s">
        <v>425</v>
      </c>
    </row>
    <row r="349" spans="1:1" ht="16" x14ac:dyDescent="0.2">
      <c r="A349" s="10" t="s">
        <v>426</v>
      </c>
    </row>
    <row r="350" spans="1:1" ht="16" x14ac:dyDescent="0.2">
      <c r="A350" s="18" t="s">
        <v>427</v>
      </c>
    </row>
    <row r="351" spans="1:1" ht="16" x14ac:dyDescent="0.2">
      <c r="A351" s="18" t="s">
        <v>428</v>
      </c>
    </row>
    <row r="352" spans="1:1" ht="16" x14ac:dyDescent="0.2">
      <c r="A352" s="10" t="s">
        <v>429</v>
      </c>
    </row>
    <row r="353" spans="1:1" ht="16" x14ac:dyDescent="0.2">
      <c r="A353" s="10" t="s">
        <v>430</v>
      </c>
    </row>
    <row r="354" spans="1:1" ht="16" x14ac:dyDescent="0.2">
      <c r="A354" s="10" t="s">
        <v>437</v>
      </c>
    </row>
    <row r="355" spans="1:1" ht="16" x14ac:dyDescent="0.2">
      <c r="A355" s="10" t="s">
        <v>438</v>
      </c>
    </row>
    <row r="356" spans="1:1" ht="16" x14ac:dyDescent="0.2">
      <c r="A356" s="10" t="s">
        <v>439</v>
      </c>
    </row>
    <row r="357" spans="1:1" ht="16" x14ac:dyDescent="0.2">
      <c r="A357" s="18" t="s">
        <v>440</v>
      </c>
    </row>
    <row r="358" spans="1:1" ht="16" x14ac:dyDescent="0.2">
      <c r="A358" s="18" t="s">
        <v>441</v>
      </c>
    </row>
    <row r="359" spans="1:1" ht="16" x14ac:dyDescent="0.2">
      <c r="A359" s="10" t="s">
        <v>442</v>
      </c>
    </row>
    <row r="360" spans="1:1" ht="16" x14ac:dyDescent="0.2">
      <c r="A360" s="10" t="s">
        <v>443</v>
      </c>
    </row>
    <row r="361" spans="1:1" ht="16" x14ac:dyDescent="0.2">
      <c r="A361" s="10" t="s">
        <v>444</v>
      </c>
    </row>
    <row r="362" spans="1:1" ht="16" x14ac:dyDescent="0.2">
      <c r="A362" s="10" t="s">
        <v>445</v>
      </c>
    </row>
    <row r="363" spans="1:1" ht="16" x14ac:dyDescent="0.2">
      <c r="A363" s="18" t="s">
        <v>446</v>
      </c>
    </row>
    <row r="364" spans="1:1" ht="16" x14ac:dyDescent="0.2">
      <c r="A364" s="18" t="s">
        <v>447</v>
      </c>
    </row>
    <row r="365" spans="1:1" ht="16" x14ac:dyDescent="0.2">
      <c r="A365" s="10" t="s">
        <v>448</v>
      </c>
    </row>
    <row r="366" spans="1:1" ht="16" x14ac:dyDescent="0.2">
      <c r="A366" s="10" t="s">
        <v>449</v>
      </c>
    </row>
    <row r="367" spans="1:1" ht="16" x14ac:dyDescent="0.2">
      <c r="A367" s="10" t="s">
        <v>450</v>
      </c>
    </row>
    <row r="368" spans="1:1" ht="16" x14ac:dyDescent="0.2">
      <c r="A368" s="10" t="s">
        <v>451</v>
      </c>
    </row>
    <row r="369" spans="1:1" ht="16" x14ac:dyDescent="0.2">
      <c r="A369" s="10" t="s">
        <v>452</v>
      </c>
    </row>
    <row r="370" spans="1:1" ht="16" x14ac:dyDescent="0.2">
      <c r="A370" s="18" t="s">
        <v>453</v>
      </c>
    </row>
    <row r="371" spans="1:1" ht="16" x14ac:dyDescent="0.2">
      <c r="A371" s="18" t="s">
        <v>454</v>
      </c>
    </row>
    <row r="372" spans="1:1" ht="16" x14ac:dyDescent="0.2">
      <c r="A372" s="10" t="s">
        <v>455</v>
      </c>
    </row>
    <row r="373" spans="1:1" ht="16" x14ac:dyDescent="0.2">
      <c r="A373" s="10" t="s">
        <v>456</v>
      </c>
    </row>
    <row r="374" spans="1:1" ht="16" x14ac:dyDescent="0.2">
      <c r="A374" s="18" t="s">
        <v>457</v>
      </c>
    </row>
    <row r="375" spans="1:1" ht="16" x14ac:dyDescent="0.2">
      <c r="A375" s="18" t="s">
        <v>458</v>
      </c>
    </row>
    <row r="376" spans="1:1" ht="16" x14ac:dyDescent="0.2">
      <c r="A376" s="10" t="s">
        <v>459</v>
      </c>
    </row>
    <row r="377" spans="1:1" ht="16" x14ac:dyDescent="0.2">
      <c r="A377" s="10" t="s">
        <v>460</v>
      </c>
    </row>
    <row r="378" spans="1:1" ht="16" x14ac:dyDescent="0.2">
      <c r="A378" s="10" t="s">
        <v>461</v>
      </c>
    </row>
    <row r="379" spans="1:1" ht="16" x14ac:dyDescent="0.2">
      <c r="A379" s="10" t="s">
        <v>462</v>
      </c>
    </row>
    <row r="380" spans="1:1" ht="16" x14ac:dyDescent="0.2">
      <c r="A380" s="10" t="s">
        <v>463</v>
      </c>
    </row>
    <row r="381" spans="1:1" ht="16" x14ac:dyDescent="0.2">
      <c r="A381" s="10" t="s">
        <v>464</v>
      </c>
    </row>
    <row r="382" spans="1:1" ht="16" x14ac:dyDescent="0.2">
      <c r="A382" s="10" t="s">
        <v>465</v>
      </c>
    </row>
    <row r="383" spans="1:1" ht="16" x14ac:dyDescent="0.2">
      <c r="A383" s="10" t="s">
        <v>466</v>
      </c>
    </row>
    <row r="384" spans="1:1" ht="16" x14ac:dyDescent="0.2">
      <c r="A384" s="10" t="s">
        <v>467</v>
      </c>
    </row>
    <row r="385" spans="1:1" ht="16" x14ac:dyDescent="0.2">
      <c r="A385" s="10" t="s">
        <v>468</v>
      </c>
    </row>
    <row r="386" spans="1:1" ht="16" x14ac:dyDescent="0.2">
      <c r="A386" s="10" t="s">
        <v>469</v>
      </c>
    </row>
    <row r="387" spans="1:1" ht="16" x14ac:dyDescent="0.2">
      <c r="A387" s="10" t="s">
        <v>470</v>
      </c>
    </row>
    <row r="388" spans="1:1" ht="16" x14ac:dyDescent="0.2">
      <c r="A388" s="10" t="s">
        <v>471</v>
      </c>
    </row>
    <row r="389" spans="1:1" ht="16" x14ac:dyDescent="0.2">
      <c r="A389" s="10" t="s">
        <v>472</v>
      </c>
    </row>
    <row r="390" spans="1:1" ht="16" x14ac:dyDescent="0.2">
      <c r="A390" s="10" t="s">
        <v>473</v>
      </c>
    </row>
    <row r="391" spans="1:1" ht="16" x14ac:dyDescent="0.2">
      <c r="A391" s="10" t="s">
        <v>474</v>
      </c>
    </row>
    <row r="392" spans="1:1" ht="16" x14ac:dyDescent="0.2">
      <c r="A392" s="10" t="s">
        <v>475</v>
      </c>
    </row>
    <row r="393" spans="1:1" ht="16" x14ac:dyDescent="0.2">
      <c r="A393" s="10" t="s">
        <v>476</v>
      </c>
    </row>
    <row r="394" spans="1:1" ht="16" x14ac:dyDescent="0.2">
      <c r="A394" s="10" t="s">
        <v>477</v>
      </c>
    </row>
    <row r="395" spans="1:1" ht="16" x14ac:dyDescent="0.2">
      <c r="A395" s="10" t="s">
        <v>478</v>
      </c>
    </row>
    <row r="396" spans="1:1" ht="16" x14ac:dyDescent="0.2">
      <c r="A396" s="10" t="s">
        <v>479</v>
      </c>
    </row>
    <row r="397" spans="1:1" ht="16" x14ac:dyDescent="0.2">
      <c r="A397" s="10" t="s">
        <v>480</v>
      </c>
    </row>
    <row r="398" spans="1:1" ht="16" x14ac:dyDescent="0.2">
      <c r="A398" s="10" t="s">
        <v>481</v>
      </c>
    </row>
    <row r="399" spans="1:1" ht="16" x14ac:dyDescent="0.2">
      <c r="A399" s="10" t="s">
        <v>482</v>
      </c>
    </row>
    <row r="400" spans="1:1" ht="16" x14ac:dyDescent="0.2">
      <c r="A400" s="10" t="s">
        <v>483</v>
      </c>
    </row>
    <row r="401" spans="1:1" ht="16" x14ac:dyDescent="0.2">
      <c r="A401" s="10" t="s">
        <v>484</v>
      </c>
    </row>
    <row r="402" spans="1:1" ht="16" x14ac:dyDescent="0.2">
      <c r="A402" s="10" t="s">
        <v>485</v>
      </c>
    </row>
    <row r="403" spans="1:1" ht="16" x14ac:dyDescent="0.2">
      <c r="A403" s="10" t="s">
        <v>486</v>
      </c>
    </row>
    <row r="404" spans="1:1" ht="16" x14ac:dyDescent="0.2">
      <c r="A404" s="10" t="s">
        <v>487</v>
      </c>
    </row>
    <row r="405" spans="1:1" ht="16" x14ac:dyDescent="0.2">
      <c r="A405" s="10" t="s">
        <v>488</v>
      </c>
    </row>
    <row r="406" spans="1:1" ht="16" x14ac:dyDescent="0.2">
      <c r="A406" s="10" t="s">
        <v>489</v>
      </c>
    </row>
    <row r="407" spans="1:1" ht="16" x14ac:dyDescent="0.2">
      <c r="A407" s="10" t="s">
        <v>490</v>
      </c>
    </row>
    <row r="408" spans="1:1" ht="16" x14ac:dyDescent="0.2">
      <c r="A408" s="18" t="s">
        <v>491</v>
      </c>
    </row>
    <row r="409" spans="1:1" ht="16" x14ac:dyDescent="0.2">
      <c r="A409" s="18" t="s">
        <v>492</v>
      </c>
    </row>
    <row r="410" spans="1:1" ht="16" x14ac:dyDescent="0.2">
      <c r="A410" s="18" t="s">
        <v>493</v>
      </c>
    </row>
    <row r="411" spans="1:1" ht="16" x14ac:dyDescent="0.2">
      <c r="A411" s="10" t="s">
        <v>494</v>
      </c>
    </row>
    <row r="412" spans="1:1" ht="16" x14ac:dyDescent="0.2">
      <c r="A412" s="10" t="s">
        <v>495</v>
      </c>
    </row>
    <row r="413" spans="1:1" ht="16" x14ac:dyDescent="0.2">
      <c r="A413" s="10" t="s">
        <v>496</v>
      </c>
    </row>
    <row r="414" spans="1:1" ht="16" x14ac:dyDescent="0.2">
      <c r="A414" s="10" t="s">
        <v>497</v>
      </c>
    </row>
    <row r="415" spans="1:1" ht="16" x14ac:dyDescent="0.2">
      <c r="A415" s="10" t="s">
        <v>498</v>
      </c>
    </row>
    <row r="416" spans="1:1" ht="16" x14ac:dyDescent="0.2">
      <c r="A416" s="10" t="s">
        <v>499</v>
      </c>
    </row>
    <row r="417" spans="1:1" ht="16" x14ac:dyDescent="0.2">
      <c r="A417" s="10" t="s">
        <v>500</v>
      </c>
    </row>
    <row r="418" spans="1:1" ht="16" x14ac:dyDescent="0.2">
      <c r="A418" s="10" t="s">
        <v>501</v>
      </c>
    </row>
    <row r="419" spans="1:1" ht="16" x14ac:dyDescent="0.2">
      <c r="A419" s="10" t="s">
        <v>502</v>
      </c>
    </row>
    <row r="420" spans="1:1" ht="16" x14ac:dyDescent="0.2">
      <c r="A420" s="10" t="s">
        <v>503</v>
      </c>
    </row>
    <row r="421" spans="1:1" ht="16" x14ac:dyDescent="0.2">
      <c r="A421" s="10" t="s">
        <v>504</v>
      </c>
    </row>
    <row r="422" spans="1:1" ht="16" x14ac:dyDescent="0.2">
      <c r="A422" s="10" t="s">
        <v>505</v>
      </c>
    </row>
    <row r="423" spans="1:1" ht="15" x14ac:dyDescent="0.2">
      <c r="A423" s="167" t="s">
        <v>506</v>
      </c>
    </row>
    <row r="424" spans="1:1" ht="16" x14ac:dyDescent="0.2">
      <c r="A424" s="10" t="s">
        <v>507</v>
      </c>
    </row>
    <row r="425" spans="1:1" ht="16" x14ac:dyDescent="0.2">
      <c r="A425" s="10" t="s">
        <v>508</v>
      </c>
    </row>
    <row r="426" spans="1:1" ht="16" x14ac:dyDescent="0.2">
      <c r="A426" s="10" t="s">
        <v>509</v>
      </c>
    </row>
    <row r="427" spans="1:1" ht="16" x14ac:dyDescent="0.2">
      <c r="A427" s="10" t="s">
        <v>510</v>
      </c>
    </row>
    <row r="428" spans="1:1" ht="16" x14ac:dyDescent="0.2">
      <c r="A428" s="18" t="s">
        <v>511</v>
      </c>
    </row>
    <row r="429" spans="1:1" ht="16" x14ac:dyDescent="0.2">
      <c r="A429" s="18" t="s">
        <v>512</v>
      </c>
    </row>
    <row r="430" spans="1:1" ht="16" x14ac:dyDescent="0.2">
      <c r="A430" s="10" t="s">
        <v>513</v>
      </c>
    </row>
    <row r="431" spans="1:1" ht="16" x14ac:dyDescent="0.2">
      <c r="A431" s="18" t="s">
        <v>514</v>
      </c>
    </row>
    <row r="432" spans="1:1" ht="16" x14ac:dyDescent="0.2">
      <c r="A432" s="18" t="s">
        <v>515</v>
      </c>
    </row>
    <row r="433" spans="1:1" ht="16" x14ac:dyDescent="0.2">
      <c r="A433" s="10" t="s">
        <v>516</v>
      </c>
    </row>
    <row r="434" spans="1:1" ht="16" x14ac:dyDescent="0.2">
      <c r="A434" s="10" t="s">
        <v>517</v>
      </c>
    </row>
    <row r="435" spans="1:1" ht="16" x14ac:dyDescent="0.2">
      <c r="A435" s="10" t="s">
        <v>518</v>
      </c>
    </row>
    <row r="436" spans="1:1" ht="16" x14ac:dyDescent="0.2">
      <c r="A436" s="10" t="s">
        <v>520</v>
      </c>
    </row>
    <row r="437" spans="1:1" ht="16" x14ac:dyDescent="0.2">
      <c r="A437" s="10" t="s">
        <v>521</v>
      </c>
    </row>
    <row r="438" spans="1:1" ht="16" x14ac:dyDescent="0.2">
      <c r="A438" s="10" t="s">
        <v>522</v>
      </c>
    </row>
    <row r="439" spans="1:1" ht="16" x14ac:dyDescent="0.2">
      <c r="A439" s="10" t="s">
        <v>523</v>
      </c>
    </row>
    <row r="440" spans="1:1" ht="16" x14ac:dyDescent="0.2">
      <c r="A440" s="10" t="s">
        <v>524</v>
      </c>
    </row>
    <row r="441" spans="1:1" ht="16" x14ac:dyDescent="0.2">
      <c r="A441" s="10" t="s">
        <v>525</v>
      </c>
    </row>
    <row r="442" spans="1:1" ht="16" x14ac:dyDescent="0.2">
      <c r="A442" s="10" t="s">
        <v>526</v>
      </c>
    </row>
    <row r="443" spans="1:1" ht="16" x14ac:dyDescent="0.2">
      <c r="A443" s="10" t="s">
        <v>527</v>
      </c>
    </row>
    <row r="444" spans="1:1" ht="16" x14ac:dyDescent="0.2">
      <c r="A444" s="10" t="s">
        <v>528</v>
      </c>
    </row>
    <row r="445" spans="1:1" ht="16" x14ac:dyDescent="0.2">
      <c r="A445" s="10" t="s">
        <v>531</v>
      </c>
    </row>
    <row r="446" spans="1:1" ht="16" x14ac:dyDescent="0.2">
      <c r="A446" s="10" t="s">
        <v>532</v>
      </c>
    </row>
    <row r="447" spans="1:1" ht="16" x14ac:dyDescent="0.2">
      <c r="A447" s="10" t="s">
        <v>533</v>
      </c>
    </row>
    <row r="448" spans="1:1" ht="16" x14ac:dyDescent="0.2">
      <c r="A448" s="10" t="s">
        <v>534</v>
      </c>
    </row>
    <row r="449" spans="1:1" ht="16" x14ac:dyDescent="0.2">
      <c r="A449" s="10" t="s">
        <v>535</v>
      </c>
    </row>
    <row r="450" spans="1:1" ht="16" x14ac:dyDescent="0.2">
      <c r="A450" s="10" t="s">
        <v>588</v>
      </c>
    </row>
    <row r="451" spans="1:1" ht="16" x14ac:dyDescent="0.2">
      <c r="A451" s="10" t="s">
        <v>536</v>
      </c>
    </row>
    <row r="452" spans="1:1" ht="16" x14ac:dyDescent="0.2">
      <c r="A452" s="10" t="s">
        <v>537</v>
      </c>
    </row>
    <row r="453" spans="1:1" ht="16" x14ac:dyDescent="0.2">
      <c r="A453" s="10" t="s">
        <v>538</v>
      </c>
    </row>
    <row r="454" spans="1:1" ht="16" x14ac:dyDescent="0.2">
      <c r="A454" s="10" t="s">
        <v>539</v>
      </c>
    </row>
    <row r="455" spans="1:1" ht="16" x14ac:dyDescent="0.2">
      <c r="A455" s="10" t="s">
        <v>540</v>
      </c>
    </row>
    <row r="456" spans="1:1" ht="16" x14ac:dyDescent="0.2">
      <c r="A456" s="10" t="s">
        <v>542</v>
      </c>
    </row>
    <row r="457" spans="1:1" ht="16" x14ac:dyDescent="0.2">
      <c r="A457" s="10" t="s">
        <v>543</v>
      </c>
    </row>
    <row r="458" spans="1:1" ht="16" x14ac:dyDescent="0.2">
      <c r="A458" s="10" t="s">
        <v>544</v>
      </c>
    </row>
    <row r="459" spans="1:1" ht="16" x14ac:dyDescent="0.2">
      <c r="A459" s="10" t="s">
        <v>545</v>
      </c>
    </row>
    <row r="460" spans="1:1" ht="16" x14ac:dyDescent="0.2">
      <c r="A460" s="10" t="s">
        <v>546</v>
      </c>
    </row>
    <row r="461" spans="1:1" ht="16" x14ac:dyDescent="0.2">
      <c r="A461" s="10" t="s">
        <v>547</v>
      </c>
    </row>
    <row r="462" spans="1:1" ht="16" x14ac:dyDescent="0.2">
      <c r="A462" s="10" t="s">
        <v>548</v>
      </c>
    </row>
    <row r="463" spans="1:1" ht="16" x14ac:dyDescent="0.2">
      <c r="A463" s="10" t="s">
        <v>549</v>
      </c>
    </row>
    <row r="464" spans="1:1" ht="16" x14ac:dyDescent="0.2">
      <c r="A464" s="10" t="s">
        <v>550</v>
      </c>
    </row>
    <row r="465" spans="1:1" ht="16" x14ac:dyDescent="0.2">
      <c r="A465" s="10" t="s">
        <v>551</v>
      </c>
    </row>
    <row r="466" spans="1:1" ht="16" x14ac:dyDescent="0.2">
      <c r="A466" s="10" t="s">
        <v>552</v>
      </c>
    </row>
    <row r="467" spans="1:1" ht="16" x14ac:dyDescent="0.2">
      <c r="A467" s="10" t="s">
        <v>553</v>
      </c>
    </row>
    <row r="468" spans="1:1" ht="16" x14ac:dyDescent="0.2">
      <c r="A468" s="10" t="s">
        <v>554</v>
      </c>
    </row>
    <row r="469" spans="1:1" ht="16" x14ac:dyDescent="0.2">
      <c r="A469" s="10" t="s">
        <v>555</v>
      </c>
    </row>
    <row r="470" spans="1:1" ht="16" x14ac:dyDescent="0.2">
      <c r="A470" s="10" t="s">
        <v>556</v>
      </c>
    </row>
    <row r="471" spans="1:1" ht="16" x14ac:dyDescent="0.2">
      <c r="A471" s="10" t="s">
        <v>557</v>
      </c>
    </row>
    <row r="472" spans="1:1" ht="16" x14ac:dyDescent="0.2">
      <c r="A472" s="10" t="s">
        <v>558</v>
      </c>
    </row>
    <row r="473" spans="1:1" ht="16" x14ac:dyDescent="0.2">
      <c r="A473" s="10" t="s">
        <v>559</v>
      </c>
    </row>
    <row r="474" spans="1:1" ht="16" x14ac:dyDescent="0.2">
      <c r="A474" s="10" t="s">
        <v>560</v>
      </c>
    </row>
    <row r="475" spans="1:1" ht="16" x14ac:dyDescent="0.2">
      <c r="A475" s="10" t="s">
        <v>561</v>
      </c>
    </row>
    <row r="476" spans="1:1" ht="16" x14ac:dyDescent="0.2">
      <c r="A476" s="10" t="s">
        <v>562</v>
      </c>
    </row>
    <row r="477" spans="1:1" ht="16" x14ac:dyDescent="0.2">
      <c r="A477" s="10" t="s">
        <v>563</v>
      </c>
    </row>
    <row r="478" spans="1:1" ht="16" x14ac:dyDescent="0.2">
      <c r="A478" s="10" t="s">
        <v>564</v>
      </c>
    </row>
    <row r="479" spans="1:1" ht="16" x14ac:dyDescent="0.2">
      <c r="A479" s="10" t="s">
        <v>565</v>
      </c>
    </row>
    <row r="480" spans="1:1" ht="16" x14ac:dyDescent="0.2">
      <c r="A480" s="10" t="s">
        <v>566</v>
      </c>
    </row>
    <row r="481" spans="1:15" ht="16" x14ac:dyDescent="0.2">
      <c r="A481" s="10" t="s">
        <v>567</v>
      </c>
    </row>
    <row r="482" spans="1:15" ht="16" x14ac:dyDescent="0.2">
      <c r="A482" s="184" t="s">
        <v>644</v>
      </c>
      <c r="B482" s="183">
        <v>40</v>
      </c>
      <c r="D482" s="183">
        <v>100</v>
      </c>
      <c r="E482" s="183">
        <v>50</v>
      </c>
      <c r="F482" s="183">
        <v>30</v>
      </c>
      <c r="G482" s="183">
        <v>30</v>
      </c>
      <c r="H482" s="183">
        <v>40</v>
      </c>
      <c r="I482" s="183">
        <v>30</v>
      </c>
      <c r="J482" s="183">
        <v>30</v>
      </c>
      <c r="K482" s="183">
        <v>30</v>
      </c>
      <c r="L482" s="183">
        <v>40</v>
      </c>
      <c r="M482" s="183">
        <v>30</v>
      </c>
      <c r="N482" s="183">
        <v>40</v>
      </c>
      <c r="O482" s="183">
        <v>60</v>
      </c>
    </row>
    <row r="483" spans="1:15" ht="16" x14ac:dyDescent="0.2">
      <c r="A483" s="10" t="s">
        <v>574</v>
      </c>
      <c r="B483" s="183">
        <v>60</v>
      </c>
      <c r="D483" s="183">
        <v>60</v>
      </c>
      <c r="E483" s="183">
        <v>50</v>
      </c>
      <c r="F483" s="183">
        <v>60</v>
      </c>
      <c r="G483" s="183">
        <v>60</v>
      </c>
      <c r="H483" s="183">
        <v>60</v>
      </c>
      <c r="I483" s="183">
        <v>60</v>
      </c>
      <c r="J483" s="183">
        <v>60</v>
      </c>
      <c r="K483" s="183">
        <v>60</v>
      </c>
      <c r="L483" s="183">
        <v>60</v>
      </c>
      <c r="M483" s="183">
        <v>60</v>
      </c>
      <c r="N483" s="183">
        <v>40</v>
      </c>
      <c r="O483" s="183">
        <v>60</v>
      </c>
    </row>
    <row r="484" spans="1:15" ht="15" x14ac:dyDescent="0.2">
      <c r="A484" s="127" t="s">
        <v>180</v>
      </c>
    </row>
    <row r="485" spans="1:15" ht="16" x14ac:dyDescent="0.2">
      <c r="A485" s="144" t="s">
        <v>198</v>
      </c>
    </row>
    <row r="486" spans="1:15" ht="16" x14ac:dyDescent="0.2">
      <c r="A486" s="144" t="s">
        <v>243</v>
      </c>
    </row>
    <row r="487" spans="1:15" ht="15" x14ac:dyDescent="0.2">
      <c r="A487" s="127" t="s">
        <v>261</v>
      </c>
    </row>
    <row r="488" spans="1:15" ht="15" x14ac:dyDescent="0.2">
      <c r="A488" s="127" t="s">
        <v>262</v>
      </c>
    </row>
    <row r="489" spans="1:15" ht="15" x14ac:dyDescent="0.2">
      <c r="A489" s="127" t="s">
        <v>302</v>
      </c>
    </row>
    <row r="490" spans="1:15" ht="16" x14ac:dyDescent="0.2">
      <c r="A490" s="144" t="s">
        <v>431</v>
      </c>
    </row>
    <row r="491" spans="1:15" ht="16" x14ac:dyDescent="0.2">
      <c r="A491" s="144" t="s">
        <v>432</v>
      </c>
    </row>
    <row r="492" spans="1:15" ht="15" x14ac:dyDescent="0.2">
      <c r="A492" s="127" t="s">
        <v>433</v>
      </c>
    </row>
    <row r="493" spans="1:15" ht="16" x14ac:dyDescent="0.2">
      <c r="A493" s="144" t="s">
        <v>434</v>
      </c>
    </row>
    <row r="494" spans="1:15" ht="15" x14ac:dyDescent="0.2">
      <c r="A494" s="127" t="s">
        <v>435</v>
      </c>
    </row>
    <row r="495" spans="1:15" ht="15" x14ac:dyDescent="0.2">
      <c r="A495" s="127" t="s">
        <v>436</v>
      </c>
    </row>
    <row r="496" spans="1:15" ht="16" x14ac:dyDescent="0.2">
      <c r="A496" s="144" t="s">
        <v>519</v>
      </c>
    </row>
    <row r="497" spans="1:1" ht="15" x14ac:dyDescent="0.2">
      <c r="A497" s="185" t="s">
        <v>589</v>
      </c>
    </row>
    <row r="498" spans="1:1" ht="15" x14ac:dyDescent="0.2">
      <c r="A498" s="185" t="s">
        <v>591</v>
      </c>
    </row>
    <row r="499" spans="1:1" ht="15" x14ac:dyDescent="0.2">
      <c r="A499" s="185" t="s">
        <v>80</v>
      </c>
    </row>
    <row r="500" spans="1:1" ht="15" x14ac:dyDescent="0.2">
      <c r="A500" s="185" t="s">
        <v>596</v>
      </c>
    </row>
    <row r="501" spans="1:1" ht="15" x14ac:dyDescent="0.2">
      <c r="A501" s="185" t="s">
        <v>598</v>
      </c>
    </row>
    <row r="502" spans="1:1" ht="15" x14ac:dyDescent="0.2">
      <c r="A502" s="185" t="s">
        <v>599</v>
      </c>
    </row>
    <row r="503" spans="1:1" ht="15" x14ac:dyDescent="0.2">
      <c r="A503" s="185" t="s">
        <v>600</v>
      </c>
    </row>
    <row r="504" spans="1:1" ht="15" x14ac:dyDescent="0.2">
      <c r="A504" s="185" t="s">
        <v>601</v>
      </c>
    </row>
    <row r="505" spans="1:1" ht="15" x14ac:dyDescent="0.2">
      <c r="A505" s="185" t="s">
        <v>314</v>
      </c>
    </row>
    <row r="506" spans="1:1" ht="15" x14ac:dyDescent="0.2">
      <c r="A506" s="185" t="s">
        <v>604</v>
      </c>
    </row>
    <row r="507" spans="1:1" ht="15" x14ac:dyDescent="0.2">
      <c r="A507" s="185" t="s">
        <v>278</v>
      </c>
    </row>
    <row r="508" spans="1:1" ht="15" x14ac:dyDescent="0.2">
      <c r="A508" s="185" t="s">
        <v>606</v>
      </c>
    </row>
    <row r="509" spans="1:1" ht="15" x14ac:dyDescent="0.2">
      <c r="A509" s="185" t="s">
        <v>607</v>
      </c>
    </row>
    <row r="510" spans="1:1" ht="15" x14ac:dyDescent="0.2">
      <c r="A510" s="185" t="s">
        <v>251</v>
      </c>
    </row>
    <row r="511" spans="1:1" ht="15" x14ac:dyDescent="0.2">
      <c r="A511" s="185" t="s">
        <v>223</v>
      </c>
    </row>
    <row r="512" spans="1:1" ht="15" x14ac:dyDescent="0.2">
      <c r="A512" s="185" t="s">
        <v>610</v>
      </c>
    </row>
    <row r="513" spans="1:1" ht="15" x14ac:dyDescent="0.2">
      <c r="A513" s="185" t="s">
        <v>611</v>
      </c>
    </row>
    <row r="514" spans="1:1" ht="15" x14ac:dyDescent="0.2">
      <c r="A514" s="185" t="s">
        <v>224</v>
      </c>
    </row>
    <row r="515" spans="1:1" ht="13" x14ac:dyDescent="0.15">
      <c r="A515" s="186" t="s">
        <v>30</v>
      </c>
    </row>
    <row r="516" spans="1:1" ht="13" x14ac:dyDescent="0.15">
      <c r="A516" s="186" t="s">
        <v>645</v>
      </c>
    </row>
    <row r="517" spans="1:1" ht="13" x14ac:dyDescent="0.15">
      <c r="A517" s="186" t="s">
        <v>646</v>
      </c>
    </row>
    <row r="518" spans="1:1" ht="13" x14ac:dyDescent="0.15">
      <c r="A518" s="186" t="s">
        <v>647</v>
      </c>
    </row>
    <row r="519" spans="1:1" ht="13" x14ac:dyDescent="0.15">
      <c r="A519" s="186" t="s">
        <v>648</v>
      </c>
    </row>
    <row r="520" spans="1:1" ht="13" x14ac:dyDescent="0.15">
      <c r="A520" s="186" t="s">
        <v>649</v>
      </c>
    </row>
    <row r="521" spans="1:1" ht="13" x14ac:dyDescent="0.15">
      <c r="A521" s="186" t="s">
        <v>650</v>
      </c>
    </row>
    <row r="522" spans="1:1" ht="13" x14ac:dyDescent="0.15">
      <c r="A522" s="186" t="s">
        <v>651</v>
      </c>
    </row>
    <row r="523" spans="1:1" ht="13" x14ac:dyDescent="0.15">
      <c r="A523" s="186" t="s">
        <v>652</v>
      </c>
    </row>
    <row r="524" spans="1:1" ht="13" x14ac:dyDescent="0.15">
      <c r="A524" s="186" t="s">
        <v>653</v>
      </c>
    </row>
    <row r="525" spans="1:1" ht="13" x14ac:dyDescent="0.15">
      <c r="A525" s="187" t="s">
        <v>654</v>
      </c>
    </row>
    <row r="526" spans="1:1" ht="13" x14ac:dyDescent="0.15">
      <c r="A526" s="187" t="s">
        <v>655</v>
      </c>
    </row>
    <row r="527" spans="1:1" ht="13" x14ac:dyDescent="0.15">
      <c r="A527" s="187" t="s">
        <v>100</v>
      </c>
    </row>
    <row r="528" spans="1:1" ht="13" x14ac:dyDescent="0.15">
      <c r="A528" s="186" t="s">
        <v>656</v>
      </c>
    </row>
    <row r="529" spans="1:1" ht="13" x14ac:dyDescent="0.15">
      <c r="A529" s="188" t="s">
        <v>657</v>
      </c>
    </row>
    <row r="530" spans="1:1" ht="13" x14ac:dyDescent="0.15">
      <c r="A530" s="187" t="s">
        <v>658</v>
      </c>
    </row>
    <row r="531" spans="1:1" ht="13" x14ac:dyDescent="0.15">
      <c r="A531" s="187" t="s">
        <v>659</v>
      </c>
    </row>
    <row r="532" spans="1:1" ht="13" x14ac:dyDescent="0.15">
      <c r="A532" s="187" t="s">
        <v>660</v>
      </c>
    </row>
    <row r="533" spans="1:1" ht="13" x14ac:dyDescent="0.15">
      <c r="A533" s="187" t="s">
        <v>661</v>
      </c>
    </row>
    <row r="534" spans="1:1" ht="13" x14ac:dyDescent="0.15">
      <c r="A534" s="187" t="s">
        <v>662</v>
      </c>
    </row>
    <row r="535" spans="1:1" ht="13" x14ac:dyDescent="0.15">
      <c r="A535" s="187" t="s">
        <v>663</v>
      </c>
    </row>
    <row r="536" spans="1:1" ht="13" x14ac:dyDescent="0.15">
      <c r="A536" s="189" t="s">
        <v>664</v>
      </c>
    </row>
    <row r="537" spans="1:1" ht="13" x14ac:dyDescent="0.15">
      <c r="A537" s="186" t="s">
        <v>665</v>
      </c>
    </row>
    <row r="538" spans="1:1" ht="13" x14ac:dyDescent="0.15">
      <c r="A538" s="188" t="s">
        <v>666</v>
      </c>
    </row>
    <row r="539" spans="1:1" ht="13" x14ac:dyDescent="0.15">
      <c r="A539" s="187" t="s">
        <v>667</v>
      </c>
    </row>
    <row r="540" spans="1:1" ht="13" x14ac:dyDescent="0.15">
      <c r="A540" s="187" t="s">
        <v>668</v>
      </c>
    </row>
    <row r="541" spans="1:1" ht="13" x14ac:dyDescent="0.15">
      <c r="A541" s="187" t="s">
        <v>669</v>
      </c>
    </row>
    <row r="542" spans="1:1" ht="13" x14ac:dyDescent="0.15">
      <c r="A542" s="187" t="s">
        <v>670</v>
      </c>
    </row>
    <row r="543" spans="1:1" ht="13" x14ac:dyDescent="0.15">
      <c r="A543" s="187" t="s">
        <v>671</v>
      </c>
    </row>
    <row r="544" spans="1:1" ht="13" x14ac:dyDescent="0.15">
      <c r="A544" s="187" t="s">
        <v>672</v>
      </c>
    </row>
    <row r="545" spans="1:1" ht="13" x14ac:dyDescent="0.15">
      <c r="A545" s="186" t="s">
        <v>673</v>
      </c>
    </row>
    <row r="546" spans="1:1" ht="13" x14ac:dyDescent="0.15">
      <c r="A546" s="189" t="s">
        <v>674</v>
      </c>
    </row>
    <row r="547" spans="1:1" ht="13" x14ac:dyDescent="0.15">
      <c r="A547" s="186" t="s">
        <v>675</v>
      </c>
    </row>
    <row r="548" spans="1:1" ht="13" x14ac:dyDescent="0.15">
      <c r="A548" s="186" t="s">
        <v>676</v>
      </c>
    </row>
    <row r="549" spans="1:1" ht="13" x14ac:dyDescent="0.15">
      <c r="A549" s="186" t="s">
        <v>677</v>
      </c>
    </row>
    <row r="550" spans="1:1" ht="13" x14ac:dyDescent="0.15">
      <c r="A550" s="186" t="s">
        <v>678</v>
      </c>
    </row>
    <row r="551" spans="1:1" ht="13" x14ac:dyDescent="0.15">
      <c r="A551" s="186" t="s">
        <v>679</v>
      </c>
    </row>
    <row r="552" spans="1:1" ht="13" x14ac:dyDescent="0.15">
      <c r="A552" s="186" t="s">
        <v>680</v>
      </c>
    </row>
    <row r="553" spans="1:1" ht="13" x14ac:dyDescent="0.15">
      <c r="A553" s="186" t="s">
        <v>681</v>
      </c>
    </row>
    <row r="554" spans="1:1" ht="13" x14ac:dyDescent="0.15">
      <c r="A554" s="186" t="s">
        <v>682</v>
      </c>
    </row>
    <row r="555" spans="1:1" ht="13" x14ac:dyDescent="0.15">
      <c r="A555" s="186" t="s">
        <v>683</v>
      </c>
    </row>
    <row r="556" spans="1:1" ht="13" x14ac:dyDescent="0.15">
      <c r="A556" s="186" t="s">
        <v>684</v>
      </c>
    </row>
    <row r="557" spans="1:1" ht="13" x14ac:dyDescent="0.15">
      <c r="A557" s="187" t="s">
        <v>685</v>
      </c>
    </row>
    <row r="558" spans="1:1" ht="13" x14ac:dyDescent="0.15">
      <c r="A558" s="187" t="s">
        <v>686</v>
      </c>
    </row>
    <row r="559" spans="1:1" ht="13" x14ac:dyDescent="0.15">
      <c r="A559" s="187" t="s">
        <v>687</v>
      </c>
    </row>
    <row r="560" spans="1:1" ht="13" x14ac:dyDescent="0.15">
      <c r="A560" s="187" t="s">
        <v>688</v>
      </c>
    </row>
    <row r="561" spans="1:15" ht="13" x14ac:dyDescent="0.15">
      <c r="A561" s="187" t="s">
        <v>689</v>
      </c>
    </row>
    <row r="562" spans="1:15" ht="13" x14ac:dyDescent="0.15">
      <c r="A562" s="186" t="s">
        <v>690</v>
      </c>
    </row>
    <row r="563" spans="1:15" ht="13" x14ac:dyDescent="0.15">
      <c r="A563" s="186" t="s">
        <v>691</v>
      </c>
    </row>
    <row r="564" spans="1:15" ht="13" x14ac:dyDescent="0.15">
      <c r="A564" s="186" t="s">
        <v>692</v>
      </c>
    </row>
    <row r="565" spans="1:15" ht="13" x14ac:dyDescent="0.15">
      <c r="A565" s="190" t="s">
        <v>693</v>
      </c>
      <c r="B565" s="183">
        <v>40</v>
      </c>
      <c r="D565" s="183">
        <v>50</v>
      </c>
      <c r="E565" s="183">
        <v>40</v>
      </c>
      <c r="F565" s="183">
        <v>40</v>
      </c>
      <c r="G565" s="183">
        <v>40</v>
      </c>
      <c r="H565" s="183">
        <v>40</v>
      </c>
      <c r="I565" s="183">
        <v>30</v>
      </c>
      <c r="J565" s="183">
        <v>50</v>
      </c>
      <c r="K565" s="183">
        <v>30</v>
      </c>
      <c r="L565" s="183">
        <v>40</v>
      </c>
      <c r="M565" s="183">
        <v>30</v>
      </c>
      <c r="N565" s="183">
        <v>70</v>
      </c>
      <c r="O565" s="183">
        <v>40</v>
      </c>
    </row>
    <row r="566" spans="1:15" ht="13" x14ac:dyDescent="0.15">
      <c r="A566" s="190" t="s">
        <v>694</v>
      </c>
      <c r="B566" s="183">
        <v>10</v>
      </c>
      <c r="D566" s="183">
        <v>10</v>
      </c>
      <c r="E566" s="183">
        <v>10</v>
      </c>
      <c r="F566" s="183">
        <v>10</v>
      </c>
      <c r="G566" s="183">
        <v>10</v>
      </c>
      <c r="H566" s="183">
        <v>10</v>
      </c>
      <c r="I566" s="183">
        <v>10</v>
      </c>
      <c r="J566" s="183">
        <v>10</v>
      </c>
      <c r="K566" s="183">
        <v>10</v>
      </c>
      <c r="L566" s="183">
        <v>10</v>
      </c>
      <c r="M566" s="183">
        <v>10</v>
      </c>
      <c r="N566" s="183">
        <v>10</v>
      </c>
      <c r="O566" s="183">
        <v>10</v>
      </c>
    </row>
    <row r="567" spans="1:15" ht="15" x14ac:dyDescent="0.2">
      <c r="A567" s="185" t="s">
        <v>260</v>
      </c>
    </row>
    <row r="568" spans="1:15" ht="15" x14ac:dyDescent="0.2">
      <c r="A568" s="185" t="s">
        <v>299</v>
      </c>
    </row>
    <row r="569" spans="1:15" ht="15" x14ac:dyDescent="0.2">
      <c r="A569" s="185" t="s">
        <v>695</v>
      </c>
    </row>
    <row r="570" spans="1:15" ht="15" x14ac:dyDescent="0.2">
      <c r="A570" s="185" t="s">
        <v>696</v>
      </c>
    </row>
    <row r="571" spans="1:15" ht="15" x14ac:dyDescent="0.2">
      <c r="A571" s="185" t="s">
        <v>697</v>
      </c>
    </row>
    <row r="572" spans="1:15" ht="13" x14ac:dyDescent="0.15">
      <c r="A572" s="186" t="s">
        <v>698</v>
      </c>
    </row>
    <row r="573" spans="1:15" ht="13" x14ac:dyDescent="0.15">
      <c r="A573" s="186" t="s">
        <v>699</v>
      </c>
    </row>
    <row r="574" spans="1:15" ht="13" x14ac:dyDescent="0.15">
      <c r="A574" s="186" t="s">
        <v>700</v>
      </c>
    </row>
    <row r="575" spans="1:15" ht="13" x14ac:dyDescent="0.15">
      <c r="A575" s="186" t="s">
        <v>701</v>
      </c>
    </row>
    <row r="576" spans="1:15" ht="13" x14ac:dyDescent="0.15">
      <c r="A576" s="186" t="s">
        <v>702</v>
      </c>
    </row>
    <row r="577" spans="1:1" ht="13" x14ac:dyDescent="0.15">
      <c r="A577" s="186" t="s">
        <v>703</v>
      </c>
    </row>
    <row r="578" spans="1:1" ht="13" x14ac:dyDescent="0.15">
      <c r="A578" s="186" t="s">
        <v>704</v>
      </c>
    </row>
    <row r="579" spans="1:1" ht="13" x14ac:dyDescent="0.15">
      <c r="A579" s="186" t="s">
        <v>705</v>
      </c>
    </row>
    <row r="580" spans="1:1" ht="13" x14ac:dyDescent="0.15">
      <c r="A580" s="186" t="s">
        <v>706</v>
      </c>
    </row>
    <row r="581" spans="1:1" ht="13" x14ac:dyDescent="0.15">
      <c r="A581" s="186" t="s">
        <v>707</v>
      </c>
    </row>
    <row r="582" spans="1:1" ht="13" x14ac:dyDescent="0.15">
      <c r="A582" s="186" t="s">
        <v>708</v>
      </c>
    </row>
    <row r="583" spans="1:1" ht="13" x14ac:dyDescent="0.15">
      <c r="A583" s="190" t="s">
        <v>709</v>
      </c>
    </row>
    <row r="584" spans="1:1" ht="13" x14ac:dyDescent="0.15">
      <c r="A584" s="190" t="s">
        <v>710</v>
      </c>
    </row>
    <row r="585" spans="1:1" ht="13" x14ac:dyDescent="0.15">
      <c r="A585" s="191" t="s">
        <v>711</v>
      </c>
    </row>
    <row r="586" spans="1:1" ht="13" x14ac:dyDescent="0.15">
      <c r="A586" s="191" t="s">
        <v>712</v>
      </c>
    </row>
    <row r="587" spans="1:1" ht="13" x14ac:dyDescent="0.15">
      <c r="A587" s="191" t="s">
        <v>272</v>
      </c>
    </row>
    <row r="588" spans="1:1" ht="13" x14ac:dyDescent="0.15">
      <c r="A588" s="191" t="s">
        <v>713</v>
      </c>
    </row>
    <row r="589" spans="1:1" ht="13" x14ac:dyDescent="0.15">
      <c r="A589" s="191" t="s">
        <v>714</v>
      </c>
    </row>
    <row r="590" spans="1:1" ht="13" x14ac:dyDescent="0.15">
      <c r="A590" s="192" t="s">
        <v>715</v>
      </c>
    </row>
    <row r="591" spans="1:1" ht="13" x14ac:dyDescent="0.15">
      <c r="A591" s="186" t="s">
        <v>235</v>
      </c>
    </row>
    <row r="592" spans="1:1" ht="13" x14ac:dyDescent="0.15">
      <c r="A592" s="186" t="s">
        <v>340</v>
      </c>
    </row>
    <row r="593" spans="1:1" ht="13" x14ac:dyDescent="0.15">
      <c r="A593" s="186" t="s">
        <v>716</v>
      </c>
    </row>
    <row r="594" spans="1:1" ht="13" x14ac:dyDescent="0.15">
      <c r="A594" s="186" t="s">
        <v>717</v>
      </c>
    </row>
    <row r="595" spans="1:1" ht="13" x14ac:dyDescent="0.15">
      <c r="A595" s="186" t="s">
        <v>718</v>
      </c>
    </row>
    <row r="596" spans="1:1" ht="13" x14ac:dyDescent="0.15">
      <c r="A596" s="186" t="s">
        <v>719</v>
      </c>
    </row>
    <row r="597" spans="1:1" ht="13" x14ac:dyDescent="0.15">
      <c r="A597" s="186" t="s">
        <v>720</v>
      </c>
    </row>
    <row r="598" spans="1:1" ht="13" x14ac:dyDescent="0.15">
      <c r="A598" s="186" t="s">
        <v>721</v>
      </c>
    </row>
    <row r="599" spans="1:1" ht="13" x14ac:dyDescent="0.15">
      <c r="A599" s="186" t="s">
        <v>722</v>
      </c>
    </row>
    <row r="600" spans="1:1" ht="13" x14ac:dyDescent="0.15">
      <c r="A600" s="186" t="s">
        <v>723</v>
      </c>
    </row>
    <row r="601" spans="1:1" ht="13" x14ac:dyDescent="0.15">
      <c r="A601" s="186" t="s">
        <v>34</v>
      </c>
    </row>
    <row r="602" spans="1:1" ht="13" x14ac:dyDescent="0.15">
      <c r="A602" s="186" t="s">
        <v>724</v>
      </c>
    </row>
    <row r="603" spans="1:1" ht="13" x14ac:dyDescent="0.15">
      <c r="A603" s="186" t="s">
        <v>725</v>
      </c>
    </row>
    <row r="604" spans="1:1" ht="13" x14ac:dyDescent="0.15">
      <c r="A604" s="186" t="s">
        <v>726</v>
      </c>
    </row>
    <row r="605" spans="1:1" ht="13" x14ac:dyDescent="0.15">
      <c r="A605" s="186" t="s">
        <v>727</v>
      </c>
    </row>
    <row r="606" spans="1:1" ht="13" x14ac:dyDescent="0.15">
      <c r="A606" s="186" t="s">
        <v>728</v>
      </c>
    </row>
    <row r="607" spans="1:1" ht="13" x14ac:dyDescent="0.15">
      <c r="A607" s="186" t="s">
        <v>106</v>
      </c>
    </row>
    <row r="608" spans="1:1" ht="13" x14ac:dyDescent="0.15">
      <c r="A608" s="186" t="s">
        <v>729</v>
      </c>
    </row>
    <row r="609" spans="1:1" ht="13" x14ac:dyDescent="0.15">
      <c r="A609" s="186" t="s">
        <v>730</v>
      </c>
    </row>
    <row r="610" spans="1:1" ht="13" x14ac:dyDescent="0.15">
      <c r="A610" s="186" t="s">
        <v>731</v>
      </c>
    </row>
    <row r="611" spans="1:1" ht="13" x14ac:dyDescent="0.15">
      <c r="A611" s="186" t="s">
        <v>732</v>
      </c>
    </row>
    <row r="612" spans="1:1" ht="13" x14ac:dyDescent="0.15">
      <c r="A612" s="186" t="s">
        <v>733</v>
      </c>
    </row>
    <row r="613" spans="1:1" ht="13" x14ac:dyDescent="0.15">
      <c r="A613" s="186" t="s">
        <v>734</v>
      </c>
    </row>
    <row r="614" spans="1:1" ht="13" x14ac:dyDescent="0.15">
      <c r="A614" s="186" t="s">
        <v>735</v>
      </c>
    </row>
    <row r="615" spans="1:1" ht="13" x14ac:dyDescent="0.15">
      <c r="A615" s="186" t="s">
        <v>736</v>
      </c>
    </row>
    <row r="616" spans="1:1" ht="13" x14ac:dyDescent="0.15">
      <c r="A616" s="186" t="s">
        <v>737</v>
      </c>
    </row>
    <row r="617" spans="1:1" ht="13" x14ac:dyDescent="0.15">
      <c r="A617" s="186" t="s">
        <v>738</v>
      </c>
    </row>
    <row r="618" spans="1:1" ht="13" x14ac:dyDescent="0.15">
      <c r="A618" s="186" t="s">
        <v>739</v>
      </c>
    </row>
    <row r="619" spans="1:1" ht="13" x14ac:dyDescent="0.15">
      <c r="A619" s="186" t="s">
        <v>740</v>
      </c>
    </row>
    <row r="620" spans="1:1" ht="13" x14ac:dyDescent="0.15">
      <c r="A620" s="186" t="s">
        <v>741</v>
      </c>
    </row>
    <row r="621" spans="1:1" ht="13" x14ac:dyDescent="0.15">
      <c r="A621" s="186" t="s">
        <v>742</v>
      </c>
    </row>
    <row r="622" spans="1:1" ht="13" x14ac:dyDescent="0.15">
      <c r="A622" s="186" t="s">
        <v>743</v>
      </c>
    </row>
    <row r="623" spans="1:1" ht="13" x14ac:dyDescent="0.15">
      <c r="A623" s="186" t="s">
        <v>744</v>
      </c>
    </row>
    <row r="624" spans="1:1" ht="13" x14ac:dyDescent="0.15">
      <c r="A624" s="186" t="s">
        <v>88</v>
      </c>
    </row>
    <row r="625" spans="1:1" ht="13" x14ac:dyDescent="0.15">
      <c r="A625" s="186" t="s">
        <v>745</v>
      </c>
    </row>
    <row r="626" spans="1:1" ht="13" x14ac:dyDescent="0.15">
      <c r="A626" s="186" t="s">
        <v>746</v>
      </c>
    </row>
    <row r="627" spans="1:1" ht="13" x14ac:dyDescent="0.15">
      <c r="A627" s="186" t="s">
        <v>747</v>
      </c>
    </row>
    <row r="628" spans="1:1" ht="13" x14ac:dyDescent="0.15">
      <c r="A628" s="186" t="s">
        <v>748</v>
      </c>
    </row>
    <row r="629" spans="1:1" ht="13" x14ac:dyDescent="0.15">
      <c r="A629" s="186" t="s">
        <v>749</v>
      </c>
    </row>
    <row r="630" spans="1:1" ht="13" x14ac:dyDescent="0.15">
      <c r="A630" s="186" t="s">
        <v>750</v>
      </c>
    </row>
    <row r="632" spans="1:1" ht="13" x14ac:dyDescent="0.15">
      <c r="A632" s="193" t="s">
        <v>751</v>
      </c>
    </row>
    <row r="633" spans="1:1" ht="13" x14ac:dyDescent="0.15">
      <c r="A633" s="193" t="s">
        <v>333</v>
      </c>
    </row>
    <row r="634" spans="1:1" ht="13" x14ac:dyDescent="0.15">
      <c r="A634" s="193" t="s">
        <v>296</v>
      </c>
    </row>
    <row r="635" spans="1:1" ht="13" x14ac:dyDescent="0.15">
      <c r="A635" s="193" t="s">
        <v>752</v>
      </c>
    </row>
    <row r="636" spans="1:1" ht="13" x14ac:dyDescent="0.15">
      <c r="A636" s="193" t="s">
        <v>753</v>
      </c>
    </row>
    <row r="637" spans="1:1" ht="13" x14ac:dyDescent="0.15">
      <c r="A637" s="193" t="s">
        <v>343</v>
      </c>
    </row>
    <row r="638" spans="1:1" ht="13" x14ac:dyDescent="0.15">
      <c r="A638" s="193" t="s">
        <v>754</v>
      </c>
    </row>
    <row r="639" spans="1:1" ht="13" x14ac:dyDescent="0.15">
      <c r="A639" s="193" t="s">
        <v>755</v>
      </c>
    </row>
    <row r="640" spans="1:1" ht="13" x14ac:dyDescent="0.15">
      <c r="A640" s="193" t="s">
        <v>756</v>
      </c>
    </row>
    <row r="641" spans="1:1" ht="13" x14ac:dyDescent="0.15">
      <c r="A641" s="193" t="s">
        <v>757</v>
      </c>
    </row>
    <row r="642" spans="1:1" ht="13" x14ac:dyDescent="0.15">
      <c r="A642" s="193" t="s">
        <v>758</v>
      </c>
    </row>
    <row r="643" spans="1:1" ht="13" x14ac:dyDescent="0.15">
      <c r="A643" s="193" t="s">
        <v>759</v>
      </c>
    </row>
    <row r="644" spans="1:1" ht="13" x14ac:dyDescent="0.15">
      <c r="A644" s="193" t="s">
        <v>760</v>
      </c>
    </row>
    <row r="645" spans="1:1" ht="13" x14ac:dyDescent="0.15">
      <c r="A645" s="193" t="s">
        <v>761</v>
      </c>
    </row>
    <row r="646" spans="1:1" ht="13" x14ac:dyDescent="0.15">
      <c r="A646" s="193" t="s">
        <v>762</v>
      </c>
    </row>
    <row r="647" spans="1:1" ht="13" x14ac:dyDescent="0.15">
      <c r="A647" s="193" t="s">
        <v>763</v>
      </c>
    </row>
    <row r="648" spans="1:1" ht="13" x14ac:dyDescent="0.15">
      <c r="A648" s="193" t="s">
        <v>764</v>
      </c>
    </row>
    <row r="649" spans="1:1" ht="13" x14ac:dyDescent="0.15">
      <c r="A649" s="193" t="s">
        <v>765</v>
      </c>
    </row>
    <row r="650" spans="1:1" ht="13" x14ac:dyDescent="0.15">
      <c r="A650" s="193" t="s">
        <v>766</v>
      </c>
    </row>
    <row r="651" spans="1:1" ht="13" x14ac:dyDescent="0.15">
      <c r="A651" s="193" t="s">
        <v>767</v>
      </c>
    </row>
    <row r="652" spans="1:1" ht="13" x14ac:dyDescent="0.15">
      <c r="A652" s="193" t="s">
        <v>768</v>
      </c>
    </row>
    <row r="653" spans="1:1" ht="13" x14ac:dyDescent="0.15">
      <c r="A653" s="193" t="s">
        <v>769</v>
      </c>
    </row>
    <row r="654" spans="1:1" ht="13" x14ac:dyDescent="0.15">
      <c r="A654" s="193" t="s">
        <v>770</v>
      </c>
    </row>
    <row r="655" spans="1:1" ht="13" x14ac:dyDescent="0.15">
      <c r="A655" s="193" t="s">
        <v>771</v>
      </c>
    </row>
    <row r="656" spans="1:1" ht="13" x14ac:dyDescent="0.15">
      <c r="A656" s="193" t="s">
        <v>772</v>
      </c>
    </row>
    <row r="657" spans="1:1" ht="13" x14ac:dyDescent="0.15">
      <c r="A657" s="193" t="s">
        <v>773</v>
      </c>
    </row>
    <row r="658" spans="1:1" ht="13" x14ac:dyDescent="0.15">
      <c r="A658" s="193" t="s">
        <v>774</v>
      </c>
    </row>
    <row r="659" spans="1:1" ht="13" x14ac:dyDescent="0.15">
      <c r="A659" s="193" t="s">
        <v>775</v>
      </c>
    </row>
    <row r="660" spans="1:1" ht="13" x14ac:dyDescent="0.15">
      <c r="A660" s="193" t="s">
        <v>776</v>
      </c>
    </row>
    <row r="661" spans="1:1" ht="13" x14ac:dyDescent="0.15">
      <c r="A661" s="193" t="s">
        <v>777</v>
      </c>
    </row>
    <row r="662" spans="1:1" ht="13" x14ac:dyDescent="0.15">
      <c r="A662" s="193" t="s">
        <v>778</v>
      </c>
    </row>
    <row r="663" spans="1:1" ht="13" x14ac:dyDescent="0.15">
      <c r="A663" s="193" t="s">
        <v>779</v>
      </c>
    </row>
    <row r="664" spans="1:1" ht="13" x14ac:dyDescent="0.15">
      <c r="A664" s="193" t="s">
        <v>780</v>
      </c>
    </row>
    <row r="665" spans="1:1" ht="13" x14ac:dyDescent="0.15">
      <c r="A665" s="193" t="s">
        <v>781</v>
      </c>
    </row>
    <row r="666" spans="1:1" ht="13" x14ac:dyDescent="0.15">
      <c r="A666" s="193" t="s">
        <v>782</v>
      </c>
    </row>
    <row r="667" spans="1:1" ht="13" x14ac:dyDescent="0.15">
      <c r="A667" s="193" t="s">
        <v>783</v>
      </c>
    </row>
    <row r="668" spans="1:1" ht="13" x14ac:dyDescent="0.15">
      <c r="A668" s="193" t="s">
        <v>784</v>
      </c>
    </row>
    <row r="669" spans="1:1" ht="13" x14ac:dyDescent="0.15">
      <c r="A669" s="193" t="s">
        <v>785</v>
      </c>
    </row>
    <row r="670" spans="1:1" ht="13" x14ac:dyDescent="0.15">
      <c r="A670" s="193" t="s">
        <v>786</v>
      </c>
    </row>
    <row r="671" spans="1:1" ht="13" x14ac:dyDescent="0.15">
      <c r="A671" s="193" t="s">
        <v>787</v>
      </c>
    </row>
    <row r="672" spans="1:1" ht="13" x14ac:dyDescent="0.15">
      <c r="A672" s="193" t="s">
        <v>788</v>
      </c>
    </row>
    <row r="673" spans="1:1" ht="13" x14ac:dyDescent="0.15">
      <c r="A673" s="193" t="s">
        <v>789</v>
      </c>
    </row>
    <row r="674" spans="1:1" ht="13" x14ac:dyDescent="0.15">
      <c r="A674" s="193" t="s">
        <v>790</v>
      </c>
    </row>
    <row r="675" spans="1:1" ht="13" x14ac:dyDescent="0.15">
      <c r="A675" s="193" t="s">
        <v>791</v>
      </c>
    </row>
    <row r="676" spans="1:1" ht="13" x14ac:dyDescent="0.15">
      <c r="A676" s="193" t="s">
        <v>792</v>
      </c>
    </row>
    <row r="677" spans="1:1" ht="13" x14ac:dyDescent="0.15">
      <c r="A677" s="193" t="s">
        <v>793</v>
      </c>
    </row>
    <row r="678" spans="1:1" ht="13" x14ac:dyDescent="0.15">
      <c r="A678" s="193" t="s">
        <v>794</v>
      </c>
    </row>
    <row r="679" spans="1:1" ht="13" x14ac:dyDescent="0.15">
      <c r="A679" s="193" t="s">
        <v>795</v>
      </c>
    </row>
    <row r="680" spans="1:1" ht="13" x14ac:dyDescent="0.15">
      <c r="A680" s="193" t="s">
        <v>796</v>
      </c>
    </row>
    <row r="681" spans="1:1" ht="13" x14ac:dyDescent="0.15">
      <c r="A681" s="193" t="s">
        <v>797</v>
      </c>
    </row>
  </sheetData>
  <autoFilter ref="A1:A704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L429"/>
  <sheetViews>
    <sheetView tabSelected="1" zoomScale="150" workbookViewId="0">
      <pane ySplit="1" topLeftCell="A2" activePane="bottomLeft" state="frozen"/>
      <selection pane="bottomLeft"/>
    </sheetView>
  </sheetViews>
  <sheetFormatPr baseColWidth="10" defaultColWidth="12.6640625" defaultRowHeight="15.75" customHeight="1" outlineLevelRow="1" x14ac:dyDescent="0.15"/>
  <cols>
    <col min="1" max="1" width="33.1640625" bestFit="1" customWidth="1"/>
    <col min="2" max="2" width="9.83203125" bestFit="1" customWidth="1"/>
    <col min="3" max="3" width="35.5" bestFit="1" customWidth="1"/>
    <col min="4" max="4" width="9.83203125" bestFit="1" customWidth="1"/>
    <col min="5" max="5" width="36" bestFit="1" customWidth="1"/>
    <col min="6" max="6" width="9.83203125" bestFit="1" customWidth="1"/>
    <col min="7" max="7" width="28.83203125" bestFit="1" customWidth="1"/>
    <col min="8" max="8" width="9.83203125" bestFit="1" customWidth="1"/>
    <col min="9" max="9" width="21" customWidth="1"/>
  </cols>
  <sheetData>
    <row r="1" spans="1:12" ht="16" x14ac:dyDescent="0.2">
      <c r="A1" s="199" t="s">
        <v>818</v>
      </c>
      <c r="B1" s="200" t="s">
        <v>819</v>
      </c>
      <c r="C1" s="201" t="s">
        <v>820</v>
      </c>
      <c r="D1" s="202" t="s">
        <v>819</v>
      </c>
      <c r="E1" s="201" t="s">
        <v>821</v>
      </c>
      <c r="F1" s="201" t="s">
        <v>819</v>
      </c>
      <c r="G1" s="201" t="s">
        <v>822</v>
      </c>
      <c r="H1" s="201" t="s">
        <v>819</v>
      </c>
      <c r="I1" s="203" t="s">
        <v>823</v>
      </c>
      <c r="J1" s="201" t="s">
        <v>819</v>
      </c>
      <c r="K1" s="203" t="s">
        <v>824</v>
      </c>
      <c r="L1" s="201" t="s">
        <v>819</v>
      </c>
    </row>
    <row r="2" spans="1:12" ht="13" x14ac:dyDescent="0.15">
      <c r="A2" s="205" t="s">
        <v>999</v>
      </c>
      <c r="B2" s="206"/>
    </row>
    <row r="3" spans="1:12" ht="13" outlineLevel="1" x14ac:dyDescent="0.15">
      <c r="A3" s="183" t="s">
        <v>21</v>
      </c>
      <c r="B3" s="197">
        <v>2900</v>
      </c>
    </row>
    <row r="4" spans="1:12" ht="13" outlineLevel="1" x14ac:dyDescent="0.15">
      <c r="A4" s="183" t="s">
        <v>23</v>
      </c>
      <c r="B4" s="197">
        <v>2900</v>
      </c>
    </row>
    <row r="5" spans="1:12" ht="13" outlineLevel="1" x14ac:dyDescent="0.15">
      <c r="A5" s="221" t="s">
        <v>18</v>
      </c>
      <c r="B5" s="198">
        <v>2900</v>
      </c>
    </row>
    <row r="6" spans="1:12" ht="13" outlineLevel="1" x14ac:dyDescent="0.15">
      <c r="A6" s="221" t="s">
        <v>17</v>
      </c>
      <c r="B6" s="198">
        <v>2900</v>
      </c>
    </row>
    <row r="7" spans="1:12" ht="13" outlineLevel="1" x14ac:dyDescent="0.15">
      <c r="A7" s="193" t="s">
        <v>19</v>
      </c>
      <c r="B7" s="198">
        <v>2900</v>
      </c>
    </row>
    <row r="8" spans="1:12" ht="13" outlineLevel="1" x14ac:dyDescent="0.15">
      <c r="A8" s="183" t="s">
        <v>575</v>
      </c>
      <c r="B8" s="183">
        <v>720</v>
      </c>
    </row>
    <row r="9" spans="1:12" ht="13" outlineLevel="1" x14ac:dyDescent="0.15">
      <c r="A9" s="183" t="s">
        <v>43</v>
      </c>
      <c r="B9" s="183">
        <v>720</v>
      </c>
    </row>
    <row r="10" spans="1:12" ht="13" outlineLevel="1" x14ac:dyDescent="0.15">
      <c r="A10" s="193" t="s">
        <v>42</v>
      </c>
      <c r="B10" s="198">
        <v>720</v>
      </c>
    </row>
    <row r="11" spans="1:12" ht="13" outlineLevel="1" x14ac:dyDescent="0.15">
      <c r="A11" s="193" t="s">
        <v>44</v>
      </c>
      <c r="B11" s="198">
        <v>720</v>
      </c>
    </row>
    <row r="12" spans="1:12" ht="13" outlineLevel="1" x14ac:dyDescent="0.15">
      <c r="A12" s="183" t="s">
        <v>50</v>
      </c>
      <c r="B12" s="183">
        <v>720</v>
      </c>
    </row>
    <row r="13" spans="1:12" ht="13" outlineLevel="1" x14ac:dyDescent="0.15">
      <c r="A13" s="183" t="s">
        <v>57</v>
      </c>
      <c r="B13" s="183">
        <v>590</v>
      </c>
    </row>
    <row r="14" spans="1:12" ht="13" outlineLevel="1" x14ac:dyDescent="0.15">
      <c r="A14" s="183" t="s">
        <v>120</v>
      </c>
      <c r="B14" s="183">
        <v>210</v>
      </c>
    </row>
    <row r="15" spans="1:12" ht="13" outlineLevel="1" x14ac:dyDescent="0.15">
      <c r="A15" s="183" t="s">
        <v>133</v>
      </c>
      <c r="B15" s="183">
        <v>170</v>
      </c>
    </row>
    <row r="16" spans="1:12" ht="13" outlineLevel="1" x14ac:dyDescent="0.15">
      <c r="A16" s="183" t="s">
        <v>131</v>
      </c>
      <c r="B16" s="183">
        <v>170</v>
      </c>
    </row>
    <row r="17" spans="1:2" ht="13" outlineLevel="1" x14ac:dyDescent="0.15">
      <c r="A17" s="183" t="s">
        <v>152</v>
      </c>
      <c r="B17" s="183">
        <v>140</v>
      </c>
    </row>
    <row r="18" spans="1:2" ht="13" outlineLevel="1" x14ac:dyDescent="0.15">
      <c r="A18" s="183" t="s">
        <v>148</v>
      </c>
      <c r="B18" s="183">
        <v>140</v>
      </c>
    </row>
    <row r="19" spans="1:2" ht="13" outlineLevel="1" x14ac:dyDescent="0.15">
      <c r="A19" s="183" t="s">
        <v>149</v>
      </c>
      <c r="B19" s="183">
        <v>140</v>
      </c>
    </row>
    <row r="20" spans="1:2" ht="13" outlineLevel="1" x14ac:dyDescent="0.15">
      <c r="A20" s="183" t="s">
        <v>153</v>
      </c>
      <c r="B20" s="183">
        <v>140</v>
      </c>
    </row>
    <row r="21" spans="1:2" ht="13" outlineLevel="1" x14ac:dyDescent="0.15">
      <c r="A21" s="183" t="s">
        <v>178</v>
      </c>
      <c r="B21" s="183">
        <v>90</v>
      </c>
    </row>
    <row r="22" spans="1:2" ht="13" outlineLevel="1" x14ac:dyDescent="0.15">
      <c r="A22" s="183" t="s">
        <v>222</v>
      </c>
      <c r="B22" s="183">
        <v>70</v>
      </c>
    </row>
    <row r="23" spans="1:2" ht="13" outlineLevel="1" x14ac:dyDescent="0.15">
      <c r="A23" s="183" t="s">
        <v>232</v>
      </c>
      <c r="B23" s="183">
        <v>50</v>
      </c>
    </row>
    <row r="24" spans="1:2" ht="13" outlineLevel="1" x14ac:dyDescent="0.15">
      <c r="A24" s="183" t="s">
        <v>250</v>
      </c>
      <c r="B24" s="183">
        <v>50</v>
      </c>
    </row>
    <row r="25" spans="1:2" ht="13" outlineLevel="1" x14ac:dyDescent="0.15">
      <c r="A25" s="193" t="s">
        <v>330</v>
      </c>
      <c r="B25" s="198">
        <v>20</v>
      </c>
    </row>
    <row r="26" spans="1:2" ht="13" outlineLevel="1" x14ac:dyDescent="0.15">
      <c r="A26" s="193" t="s">
        <v>403</v>
      </c>
      <c r="B26" s="198">
        <v>10</v>
      </c>
    </row>
    <row r="27" spans="1:2" ht="13" outlineLevel="1" x14ac:dyDescent="0.15">
      <c r="A27" s="193" t="s">
        <v>406</v>
      </c>
      <c r="B27" s="198">
        <v>10</v>
      </c>
    </row>
    <row r="28" spans="1:2" ht="13" outlineLevel="1" x14ac:dyDescent="0.15">
      <c r="A28" s="193" t="s">
        <v>414</v>
      </c>
      <c r="B28" s="198">
        <v>10</v>
      </c>
    </row>
    <row r="29" spans="1:2" ht="13" outlineLevel="1" x14ac:dyDescent="0.15">
      <c r="A29" s="183" t="s">
        <v>814</v>
      </c>
      <c r="B29" s="183">
        <v>10</v>
      </c>
    </row>
    <row r="30" spans="1:2" ht="13" outlineLevel="1" x14ac:dyDescent="0.15">
      <c r="A30" s="183" t="s">
        <v>815</v>
      </c>
      <c r="B30" s="183">
        <v>10</v>
      </c>
    </row>
    <row r="31" spans="1:2" ht="13" outlineLevel="1" x14ac:dyDescent="0.15">
      <c r="A31" s="193" t="s">
        <v>404</v>
      </c>
      <c r="B31" s="198">
        <v>10</v>
      </c>
    </row>
    <row r="32" spans="1:2" ht="13" outlineLevel="1" x14ac:dyDescent="0.15">
      <c r="A32" s="183" t="s">
        <v>380</v>
      </c>
      <c r="B32" s="183">
        <v>10</v>
      </c>
    </row>
    <row r="33" spans="1:4" ht="13" outlineLevel="1" x14ac:dyDescent="0.15">
      <c r="A33" s="183" t="s">
        <v>548</v>
      </c>
      <c r="B33" s="183">
        <v>10</v>
      </c>
    </row>
    <row r="34" spans="1:4" ht="13" outlineLevel="1" x14ac:dyDescent="0.15">
      <c r="A34" s="193" t="s">
        <v>381</v>
      </c>
      <c r="B34" s="198">
        <v>10</v>
      </c>
    </row>
    <row r="35" spans="1:4" ht="13" outlineLevel="1" x14ac:dyDescent="0.15">
      <c r="A35" s="207" t="s">
        <v>393</v>
      </c>
      <c r="B35" s="208">
        <v>10</v>
      </c>
    </row>
    <row r="36" spans="1:4" ht="13" x14ac:dyDescent="0.15">
      <c r="A36" s="204" t="s">
        <v>825</v>
      </c>
      <c r="B36" s="209">
        <f>SUM(B3:B35)</f>
        <v>20180</v>
      </c>
    </row>
    <row r="38" spans="1:4" ht="13" x14ac:dyDescent="0.15">
      <c r="C38" s="210" t="s">
        <v>997</v>
      </c>
      <c r="D38" s="211" t="s">
        <v>826</v>
      </c>
    </row>
    <row r="39" spans="1:4" ht="13" x14ac:dyDescent="0.15">
      <c r="C39" s="212" t="s">
        <v>16</v>
      </c>
      <c r="D39" s="212">
        <v>6600</v>
      </c>
    </row>
    <row r="40" spans="1:4" ht="13" x14ac:dyDescent="0.15">
      <c r="C40" s="212" t="s">
        <v>15</v>
      </c>
      <c r="D40" s="212">
        <v>6600</v>
      </c>
    </row>
    <row r="41" spans="1:4" ht="13" x14ac:dyDescent="0.15">
      <c r="C41" s="212" t="s">
        <v>64</v>
      </c>
      <c r="D41" s="212">
        <v>590</v>
      </c>
    </row>
    <row r="42" spans="1:4" ht="13" x14ac:dyDescent="0.15">
      <c r="C42" s="212" t="s">
        <v>58</v>
      </c>
      <c r="D42" s="212">
        <v>590</v>
      </c>
    </row>
    <row r="43" spans="1:4" ht="13" x14ac:dyDescent="0.15">
      <c r="C43" s="212" t="s">
        <v>65</v>
      </c>
      <c r="D43" s="212">
        <v>480</v>
      </c>
    </row>
    <row r="44" spans="1:4" ht="13" x14ac:dyDescent="0.15">
      <c r="C44" s="212" t="s">
        <v>72</v>
      </c>
      <c r="D44" s="212">
        <v>480</v>
      </c>
    </row>
    <row r="45" spans="1:4" ht="13" x14ac:dyDescent="0.15">
      <c r="C45" s="214" t="s">
        <v>76</v>
      </c>
      <c r="D45" s="214">
        <v>390</v>
      </c>
    </row>
    <row r="46" spans="1:4" ht="13" x14ac:dyDescent="0.15">
      <c r="C46" s="212" t="s">
        <v>579</v>
      </c>
      <c r="D46" s="212">
        <v>390</v>
      </c>
    </row>
    <row r="47" spans="1:4" ht="13" x14ac:dyDescent="0.15">
      <c r="C47" s="212" t="s">
        <v>78</v>
      </c>
      <c r="D47" s="212">
        <v>390</v>
      </c>
    </row>
    <row r="48" spans="1:4" ht="13" x14ac:dyDescent="0.15">
      <c r="C48" s="212" t="s">
        <v>576</v>
      </c>
      <c r="D48" s="212">
        <v>390</v>
      </c>
    </row>
    <row r="49" spans="3:4" ht="13" x14ac:dyDescent="0.15">
      <c r="C49" s="212" t="s">
        <v>578</v>
      </c>
      <c r="D49" s="212">
        <v>390</v>
      </c>
    </row>
    <row r="50" spans="3:4" ht="13" x14ac:dyDescent="0.15">
      <c r="C50" s="212" t="s">
        <v>77</v>
      </c>
      <c r="D50" s="212">
        <v>320</v>
      </c>
    </row>
    <row r="51" spans="3:4" ht="13" x14ac:dyDescent="0.15">
      <c r="C51" s="212" t="s">
        <v>104</v>
      </c>
      <c r="D51" s="212">
        <v>260</v>
      </c>
    </row>
    <row r="52" spans="3:4" ht="13" x14ac:dyDescent="0.15">
      <c r="C52" s="212" t="s">
        <v>103</v>
      </c>
      <c r="D52" s="212">
        <v>260</v>
      </c>
    </row>
    <row r="53" spans="3:4" ht="13" x14ac:dyDescent="0.15">
      <c r="C53" s="212" t="s">
        <v>140</v>
      </c>
      <c r="D53" s="212">
        <v>140</v>
      </c>
    </row>
    <row r="54" spans="3:4" ht="13" x14ac:dyDescent="0.15">
      <c r="C54" s="212" t="s">
        <v>124</v>
      </c>
      <c r="D54" s="212">
        <v>140</v>
      </c>
    </row>
    <row r="55" spans="3:4" ht="13" x14ac:dyDescent="0.15">
      <c r="C55" s="212" t="s">
        <v>164</v>
      </c>
      <c r="D55" s="212">
        <v>90</v>
      </c>
    </row>
    <row r="56" spans="3:4" ht="13" x14ac:dyDescent="0.15">
      <c r="C56" s="212" t="s">
        <v>223</v>
      </c>
      <c r="D56" s="212">
        <v>70</v>
      </c>
    </row>
    <row r="57" spans="3:4" ht="13" x14ac:dyDescent="0.15">
      <c r="C57" s="212" t="s">
        <v>194</v>
      </c>
      <c r="D57" s="212">
        <v>50</v>
      </c>
    </row>
    <row r="58" spans="3:4" ht="13" x14ac:dyDescent="0.15">
      <c r="C58" s="212" t="s">
        <v>230</v>
      </c>
      <c r="D58" s="212">
        <v>40</v>
      </c>
    </row>
    <row r="59" spans="3:4" ht="13" x14ac:dyDescent="0.15">
      <c r="C59" s="212" t="s">
        <v>268</v>
      </c>
      <c r="D59" s="212">
        <v>40</v>
      </c>
    </row>
    <row r="60" spans="3:4" ht="13" x14ac:dyDescent="0.15">
      <c r="C60" s="212" t="s">
        <v>290</v>
      </c>
      <c r="D60" s="212">
        <v>30</v>
      </c>
    </row>
    <row r="61" spans="3:4" ht="13" x14ac:dyDescent="0.15">
      <c r="C61" s="212" t="s">
        <v>274</v>
      </c>
      <c r="D61" s="212">
        <v>30</v>
      </c>
    </row>
    <row r="62" spans="3:4" ht="13" x14ac:dyDescent="0.15">
      <c r="C62" s="212" t="s">
        <v>299</v>
      </c>
      <c r="D62" s="212">
        <v>30</v>
      </c>
    </row>
    <row r="63" spans="3:4" ht="13" x14ac:dyDescent="0.15">
      <c r="C63" s="212" t="s">
        <v>329</v>
      </c>
      <c r="D63" s="212">
        <v>20</v>
      </c>
    </row>
    <row r="64" spans="3:4" ht="13" x14ac:dyDescent="0.15">
      <c r="C64" s="212" t="s">
        <v>332</v>
      </c>
      <c r="D64" s="212">
        <v>20</v>
      </c>
    </row>
    <row r="65" spans="3:6" ht="13" x14ac:dyDescent="0.15">
      <c r="C65" s="212" t="s">
        <v>343</v>
      </c>
      <c r="D65" s="212">
        <v>20</v>
      </c>
    </row>
    <row r="66" spans="3:6" ht="13" x14ac:dyDescent="0.15">
      <c r="C66" s="215" t="s">
        <v>338</v>
      </c>
      <c r="D66" s="215">
        <v>20</v>
      </c>
    </row>
    <row r="67" spans="3:6" ht="13" x14ac:dyDescent="0.15">
      <c r="C67" s="212" t="s">
        <v>810</v>
      </c>
      <c r="D67" s="212">
        <v>10</v>
      </c>
    </row>
    <row r="68" spans="3:6" ht="13" x14ac:dyDescent="0.15">
      <c r="C68" s="212" t="s">
        <v>486</v>
      </c>
      <c r="D68" s="212">
        <v>10</v>
      </c>
    </row>
    <row r="69" spans="3:6" ht="13" x14ac:dyDescent="0.15">
      <c r="C69" s="212" t="s">
        <v>423</v>
      </c>
      <c r="D69" s="212">
        <v>10</v>
      </c>
    </row>
    <row r="70" spans="3:6" ht="13" x14ac:dyDescent="0.15">
      <c r="C70" s="214" t="s">
        <v>825</v>
      </c>
      <c r="D70" s="214">
        <f>SUM(D39:D69)</f>
        <v>18900</v>
      </c>
    </row>
    <row r="71" spans="3:6" ht="13" x14ac:dyDescent="0.15">
      <c r="C71" s="214"/>
      <c r="D71" s="214"/>
    </row>
    <row r="72" spans="3:6" ht="13" x14ac:dyDescent="0.15">
      <c r="C72" s="214"/>
      <c r="D72" s="214"/>
    </row>
    <row r="73" spans="3:6" ht="13" x14ac:dyDescent="0.15">
      <c r="C73" s="214"/>
      <c r="D73" s="214"/>
      <c r="E73" s="210" t="s">
        <v>827</v>
      </c>
      <c r="F73" s="211" t="s">
        <v>826</v>
      </c>
    </row>
    <row r="74" spans="3:6" ht="13" x14ac:dyDescent="0.15">
      <c r="C74" s="214"/>
      <c r="D74" s="214"/>
      <c r="E74" t="s">
        <v>807</v>
      </c>
      <c r="F74">
        <v>10</v>
      </c>
    </row>
    <row r="75" spans="3:6" ht="13" x14ac:dyDescent="0.15">
      <c r="C75" s="214"/>
      <c r="D75" s="214"/>
      <c r="E75" t="s">
        <v>607</v>
      </c>
      <c r="F75">
        <v>10</v>
      </c>
    </row>
    <row r="76" spans="3:6" ht="13" x14ac:dyDescent="0.15">
      <c r="C76" s="214"/>
      <c r="D76" s="214"/>
      <c r="E76" s="263" t="s">
        <v>589</v>
      </c>
      <c r="F76">
        <v>10</v>
      </c>
    </row>
    <row r="77" spans="3:6" ht="13" x14ac:dyDescent="0.15">
      <c r="C77" s="214"/>
      <c r="D77" s="214"/>
      <c r="E77" s="263" t="s">
        <v>825</v>
      </c>
      <c r="F77" s="263">
        <f>SUM(F74:F76)</f>
        <v>30</v>
      </c>
    </row>
    <row r="78" spans="3:6" ht="13" x14ac:dyDescent="0.15">
      <c r="C78" s="214"/>
      <c r="D78" s="214"/>
    </row>
    <row r="80" spans="3:6" ht="13" x14ac:dyDescent="0.15">
      <c r="E80" s="204"/>
      <c r="F80" s="204"/>
    </row>
    <row r="81" spans="5:8" ht="13" x14ac:dyDescent="0.15">
      <c r="E81" s="214"/>
    </row>
    <row r="82" spans="5:8" ht="13" x14ac:dyDescent="0.15">
      <c r="E82" s="210" t="s">
        <v>964</v>
      </c>
      <c r="F82" s="211" t="s">
        <v>826</v>
      </c>
    </row>
    <row r="83" spans="5:8" ht="13" x14ac:dyDescent="0.15">
      <c r="E83" s="212" t="s">
        <v>111</v>
      </c>
      <c r="F83" s="212">
        <v>210</v>
      </c>
    </row>
    <row r="84" spans="5:8" ht="13" x14ac:dyDescent="0.15">
      <c r="E84" s="212" t="s">
        <v>610</v>
      </c>
      <c r="F84" s="212">
        <v>30</v>
      </c>
    </row>
    <row r="85" spans="5:8" ht="13" x14ac:dyDescent="0.15">
      <c r="E85" s="212" t="s">
        <v>716</v>
      </c>
      <c r="F85" s="212">
        <v>10</v>
      </c>
    </row>
    <row r="86" spans="5:8" ht="13" x14ac:dyDescent="0.15">
      <c r="E86" s="204" t="s">
        <v>825</v>
      </c>
      <c r="F86" s="214">
        <f>SUM(F83:F85)</f>
        <v>250</v>
      </c>
    </row>
    <row r="87" spans="5:8" ht="13" x14ac:dyDescent="0.15">
      <c r="E87" s="204"/>
      <c r="F87" s="214"/>
    </row>
    <row r="88" spans="5:8" ht="13" x14ac:dyDescent="0.15">
      <c r="E88" s="204"/>
      <c r="F88" s="214"/>
      <c r="G88" s="210" t="s">
        <v>1013</v>
      </c>
      <c r="H88" s="211" t="s">
        <v>826</v>
      </c>
    </row>
    <row r="89" spans="5:8" ht="13" x14ac:dyDescent="0.15">
      <c r="E89" s="204"/>
      <c r="F89" s="214"/>
      <c r="G89" s="212" t="s">
        <v>231</v>
      </c>
      <c r="H89" s="212">
        <v>40</v>
      </c>
    </row>
    <row r="90" spans="5:8" ht="13" x14ac:dyDescent="0.15">
      <c r="E90" s="204"/>
      <c r="F90" s="214"/>
      <c r="G90" s="204" t="s">
        <v>825</v>
      </c>
      <c r="H90" s="204">
        <v>40</v>
      </c>
    </row>
    <row r="91" spans="5:8" ht="14" customHeight="1" x14ac:dyDescent="0.15">
      <c r="E91" s="204"/>
      <c r="F91" s="214"/>
    </row>
    <row r="92" spans="5:8" ht="13" x14ac:dyDescent="0.15">
      <c r="G92" s="210" t="s">
        <v>844</v>
      </c>
      <c r="H92" s="211" t="s">
        <v>826</v>
      </c>
    </row>
    <row r="93" spans="5:8" ht="13" x14ac:dyDescent="0.15">
      <c r="G93" s="212" t="s">
        <v>721</v>
      </c>
      <c r="H93" s="212">
        <v>10</v>
      </c>
    </row>
    <row r="94" spans="5:8" ht="13" x14ac:dyDescent="0.15">
      <c r="G94" s="212" t="s">
        <v>138</v>
      </c>
      <c r="H94" s="212">
        <v>170</v>
      </c>
    </row>
    <row r="95" spans="5:8" ht="13" x14ac:dyDescent="0.15">
      <c r="G95" s="204" t="s">
        <v>825</v>
      </c>
      <c r="H95" s="214">
        <f>SUM(H93:H94)</f>
        <v>180</v>
      </c>
    </row>
    <row r="96" spans="5:8" ht="13" x14ac:dyDescent="0.15">
      <c r="E96" s="214"/>
    </row>
    <row r="97" spans="5:8" ht="13" x14ac:dyDescent="0.15">
      <c r="E97" s="210" t="s">
        <v>829</v>
      </c>
      <c r="F97" s="211" t="s">
        <v>826</v>
      </c>
    </row>
    <row r="98" spans="5:8" ht="13" x14ac:dyDescent="0.15">
      <c r="E98" s="214" t="s">
        <v>260</v>
      </c>
      <c r="F98" s="214">
        <v>40</v>
      </c>
    </row>
    <row r="99" spans="5:8" ht="13" x14ac:dyDescent="0.15">
      <c r="E99" s="212" t="s">
        <v>695</v>
      </c>
      <c r="F99" s="212">
        <v>10</v>
      </c>
    </row>
    <row r="100" spans="5:8" ht="13" x14ac:dyDescent="0.15">
      <c r="E100" s="212" t="s">
        <v>697</v>
      </c>
      <c r="F100" s="212">
        <v>10</v>
      </c>
    </row>
    <row r="101" spans="5:8" ht="13" x14ac:dyDescent="0.15">
      <c r="E101" s="204" t="s">
        <v>825</v>
      </c>
      <c r="F101" s="214">
        <f>SUM(F98:F100)</f>
        <v>60</v>
      </c>
    </row>
    <row r="102" spans="5:8" ht="16.5" customHeight="1" x14ac:dyDescent="0.15"/>
    <row r="103" spans="5:8" ht="16.5" customHeight="1" x14ac:dyDescent="0.15">
      <c r="E103" s="210" t="s">
        <v>830</v>
      </c>
      <c r="F103" s="211" t="s">
        <v>826</v>
      </c>
    </row>
    <row r="104" spans="5:8" ht="16.5" customHeight="1" x14ac:dyDescent="0.15">
      <c r="E104" s="215" t="s">
        <v>804</v>
      </c>
      <c r="F104" s="215">
        <v>10</v>
      </c>
    </row>
    <row r="105" spans="5:8" ht="16.5" customHeight="1" x14ac:dyDescent="0.15">
      <c r="E105" s="215" t="s">
        <v>805</v>
      </c>
      <c r="F105" s="215">
        <v>10</v>
      </c>
    </row>
    <row r="106" spans="5:8" ht="16.5" customHeight="1" x14ac:dyDescent="0.15">
      <c r="E106" s="204" t="s">
        <v>825</v>
      </c>
      <c r="F106" s="219">
        <f>SUM(F104:F105)</f>
        <v>20</v>
      </c>
    </row>
    <row r="107" spans="5:8" ht="16.5" customHeight="1" x14ac:dyDescent="0.15"/>
    <row r="108" spans="5:8" ht="13" x14ac:dyDescent="0.15">
      <c r="E108" s="204"/>
      <c r="F108" s="219"/>
      <c r="G108" s="210" t="s">
        <v>831</v>
      </c>
      <c r="H108" s="211" t="s">
        <v>826</v>
      </c>
    </row>
    <row r="109" spans="5:8" ht="13" x14ac:dyDescent="0.15">
      <c r="G109" s="215" t="s">
        <v>806</v>
      </c>
      <c r="H109" s="215">
        <v>10</v>
      </c>
    </row>
    <row r="110" spans="5:8" ht="13" x14ac:dyDescent="0.15">
      <c r="G110" s="204" t="s">
        <v>825</v>
      </c>
      <c r="H110" s="204">
        <v>10</v>
      </c>
    </row>
    <row r="112" spans="5:8" ht="13" x14ac:dyDescent="0.15">
      <c r="E112" s="204"/>
      <c r="F112" s="219"/>
      <c r="G112" s="210" t="s">
        <v>832</v>
      </c>
      <c r="H112" s="211" t="s">
        <v>826</v>
      </c>
    </row>
    <row r="113" spans="5:8" ht="13" x14ac:dyDescent="0.15">
      <c r="E113" s="204"/>
      <c r="F113" s="219"/>
      <c r="G113" s="215" t="s">
        <v>340</v>
      </c>
      <c r="H113" s="215">
        <v>20</v>
      </c>
    </row>
    <row r="114" spans="5:8" ht="13" x14ac:dyDescent="0.15">
      <c r="G114" s="204" t="s">
        <v>825</v>
      </c>
      <c r="H114" s="204">
        <v>20</v>
      </c>
    </row>
    <row r="115" spans="5:8" ht="13" x14ac:dyDescent="0.15">
      <c r="G115" s="204"/>
      <c r="H115" s="204"/>
    </row>
    <row r="116" spans="5:8" ht="13" x14ac:dyDescent="0.15">
      <c r="E116" s="271" t="s">
        <v>833</v>
      </c>
      <c r="F116" s="272" t="s">
        <v>826</v>
      </c>
    </row>
    <row r="117" spans="5:8" ht="13" x14ac:dyDescent="0.15">
      <c r="E117" s="183" t="s">
        <v>676</v>
      </c>
      <c r="F117" s="183">
        <v>40</v>
      </c>
    </row>
    <row r="118" spans="5:8" ht="13" x14ac:dyDescent="0.15">
      <c r="E118" s="194" t="s">
        <v>281</v>
      </c>
      <c r="F118" s="195">
        <v>40</v>
      </c>
    </row>
    <row r="119" spans="5:8" ht="13" x14ac:dyDescent="0.15">
      <c r="E119" s="204" t="s">
        <v>825</v>
      </c>
      <c r="F119" s="214">
        <f>SUM(F117:F118)</f>
        <v>80</v>
      </c>
    </row>
    <row r="120" spans="5:8" ht="13" x14ac:dyDescent="0.15"/>
    <row r="121" spans="5:8" ht="13" x14ac:dyDescent="0.15"/>
    <row r="122" spans="5:8" ht="13" x14ac:dyDescent="0.15">
      <c r="E122" s="210" t="s">
        <v>828</v>
      </c>
      <c r="F122" s="211" t="s">
        <v>826</v>
      </c>
      <c r="G122" s="261" t="s">
        <v>998</v>
      </c>
    </row>
    <row r="123" spans="5:8" ht="13" x14ac:dyDescent="0.15">
      <c r="E123" s="214" t="s">
        <v>38</v>
      </c>
      <c r="F123" s="214">
        <v>880</v>
      </c>
    </row>
    <row r="124" spans="5:8" ht="13" x14ac:dyDescent="0.15">
      <c r="E124" s="212" t="s">
        <v>51</v>
      </c>
      <c r="F124" s="212">
        <v>720</v>
      </c>
    </row>
    <row r="125" spans="5:8" ht="13" x14ac:dyDescent="0.15">
      <c r="E125" s="212" t="s">
        <v>52</v>
      </c>
      <c r="F125" s="212">
        <v>720</v>
      </c>
    </row>
    <row r="126" spans="5:8" ht="13" x14ac:dyDescent="0.15">
      <c r="E126" s="212" t="s">
        <v>89</v>
      </c>
      <c r="F126" s="212">
        <v>390</v>
      </c>
    </row>
    <row r="127" spans="5:8" ht="13" x14ac:dyDescent="0.15">
      <c r="E127" s="212" t="s">
        <v>270</v>
      </c>
      <c r="F127" s="212">
        <v>140</v>
      </c>
    </row>
    <row r="128" spans="5:8" ht="13" x14ac:dyDescent="0.15">
      <c r="E128" s="212" t="s">
        <v>157</v>
      </c>
      <c r="F128" s="212">
        <v>110</v>
      </c>
    </row>
    <row r="129" spans="1:6" ht="13" x14ac:dyDescent="0.15">
      <c r="E129" s="212" t="s">
        <v>196</v>
      </c>
      <c r="F129" s="212">
        <v>70</v>
      </c>
    </row>
    <row r="130" spans="1:6" ht="13" x14ac:dyDescent="0.15">
      <c r="E130" s="212" t="s">
        <v>282</v>
      </c>
      <c r="F130" s="212">
        <v>40</v>
      </c>
    </row>
    <row r="131" spans="1:6" ht="13" x14ac:dyDescent="0.15">
      <c r="E131" s="212" t="s">
        <v>298</v>
      </c>
      <c r="F131" s="212">
        <v>30</v>
      </c>
    </row>
    <row r="132" spans="1:6" ht="13" x14ac:dyDescent="0.15">
      <c r="C132" s="204"/>
      <c r="E132" s="212" t="s">
        <v>310</v>
      </c>
      <c r="F132" s="212">
        <v>30</v>
      </c>
    </row>
    <row r="133" spans="1:6" ht="13" x14ac:dyDescent="0.15">
      <c r="C133" s="204"/>
      <c r="E133" s="212" t="s">
        <v>331</v>
      </c>
      <c r="F133" s="212">
        <v>20</v>
      </c>
    </row>
    <row r="134" spans="1:6" ht="13" x14ac:dyDescent="0.15">
      <c r="C134" s="204"/>
      <c r="E134" s="212" t="s">
        <v>410</v>
      </c>
      <c r="F134" s="212">
        <v>10</v>
      </c>
    </row>
    <row r="135" spans="1:6" ht="13" x14ac:dyDescent="0.15">
      <c r="C135" s="204"/>
      <c r="E135" s="212" t="s">
        <v>773</v>
      </c>
      <c r="F135" s="212">
        <v>10</v>
      </c>
    </row>
    <row r="136" spans="1:6" ht="13" x14ac:dyDescent="0.15">
      <c r="C136" s="204"/>
      <c r="E136" s="212" t="s">
        <v>487</v>
      </c>
      <c r="F136" s="212">
        <v>10</v>
      </c>
    </row>
    <row r="137" spans="1:6" ht="13" x14ac:dyDescent="0.15">
      <c r="C137" s="204"/>
      <c r="E137" s="214" t="s">
        <v>825</v>
      </c>
      <c r="F137" s="214">
        <f>SUM(F123:F136)</f>
        <v>3180</v>
      </c>
    </row>
    <row r="139" spans="1:6" ht="13" x14ac:dyDescent="0.15">
      <c r="C139" s="210" t="s">
        <v>1000</v>
      </c>
      <c r="D139" s="211" t="s">
        <v>826</v>
      </c>
    </row>
    <row r="140" spans="1:6" ht="13" x14ac:dyDescent="0.15">
      <c r="C140" s="183" t="s">
        <v>37</v>
      </c>
      <c r="D140" s="183">
        <v>1000</v>
      </c>
    </row>
    <row r="141" spans="1:6" ht="13" x14ac:dyDescent="0.15">
      <c r="C141" s="183" t="s">
        <v>39</v>
      </c>
      <c r="D141" s="183">
        <v>1000</v>
      </c>
    </row>
    <row r="142" spans="1:6" ht="13" x14ac:dyDescent="0.15">
      <c r="C142" s="183" t="s">
        <v>158</v>
      </c>
      <c r="D142" s="183">
        <v>110</v>
      </c>
    </row>
    <row r="143" spans="1:6" ht="13" x14ac:dyDescent="0.15">
      <c r="A143" s="215"/>
      <c r="B143" s="215"/>
      <c r="C143" s="215" t="s">
        <v>240</v>
      </c>
      <c r="D143" s="215">
        <v>70</v>
      </c>
    </row>
    <row r="144" spans="1:6" ht="13" x14ac:dyDescent="0.15">
      <c r="A144" s="215"/>
      <c r="B144" s="215"/>
      <c r="C144" t="s">
        <v>253</v>
      </c>
      <c r="D144">
        <v>50</v>
      </c>
    </row>
    <row r="145" spans="1:6" ht="13" x14ac:dyDescent="0.15">
      <c r="A145" s="215"/>
      <c r="B145" s="215"/>
      <c r="C145" t="s">
        <v>291</v>
      </c>
      <c r="D145">
        <v>30</v>
      </c>
    </row>
    <row r="146" spans="1:6" ht="13" x14ac:dyDescent="0.15">
      <c r="A146" s="215"/>
      <c r="B146" s="215"/>
      <c r="C146" t="s">
        <v>322</v>
      </c>
      <c r="D146">
        <v>30</v>
      </c>
    </row>
    <row r="147" spans="1:6" ht="13" x14ac:dyDescent="0.15">
      <c r="A147" s="215"/>
      <c r="B147" s="215"/>
      <c r="C147" s="215" t="s">
        <v>408</v>
      </c>
      <c r="D147" s="215">
        <v>10</v>
      </c>
    </row>
    <row r="148" spans="1:6" ht="13" x14ac:dyDescent="0.15">
      <c r="A148" s="215"/>
      <c r="B148" s="215"/>
      <c r="C148" s="215" t="s">
        <v>480</v>
      </c>
      <c r="D148" s="215">
        <v>10</v>
      </c>
    </row>
    <row r="149" spans="1:6" ht="13" x14ac:dyDescent="0.15">
      <c r="A149" s="215"/>
      <c r="B149" s="215"/>
      <c r="C149" s="215" t="s">
        <v>533</v>
      </c>
      <c r="D149" s="215">
        <v>10</v>
      </c>
    </row>
    <row r="150" spans="1:6" ht="13" x14ac:dyDescent="0.15">
      <c r="A150" s="215"/>
      <c r="B150" s="215"/>
      <c r="C150" s="219" t="s">
        <v>825</v>
      </c>
      <c r="D150" s="219">
        <f>SUM(D140:D149)</f>
        <v>2320</v>
      </c>
    </row>
    <row r="151" spans="1:6" ht="13" x14ac:dyDescent="0.15">
      <c r="A151" s="215"/>
      <c r="B151" s="215"/>
    </row>
    <row r="152" spans="1:6" ht="13" x14ac:dyDescent="0.15">
      <c r="A152" s="215"/>
      <c r="B152" s="215"/>
      <c r="E152" s="210" t="s">
        <v>834</v>
      </c>
      <c r="F152" s="211" t="s">
        <v>826</v>
      </c>
    </row>
    <row r="153" spans="1:6" ht="13" x14ac:dyDescent="0.15">
      <c r="A153" s="215"/>
      <c r="B153" s="215"/>
      <c r="E153" s="219" t="s">
        <v>33</v>
      </c>
      <c r="F153" s="219">
        <v>1000</v>
      </c>
    </row>
    <row r="154" spans="1:6" ht="13" x14ac:dyDescent="0.15">
      <c r="A154" s="215"/>
      <c r="B154" s="215"/>
      <c r="E154" s="215" t="s">
        <v>580</v>
      </c>
      <c r="F154" s="215">
        <v>320</v>
      </c>
    </row>
    <row r="155" spans="1:6" ht="13" x14ac:dyDescent="0.15">
      <c r="A155" s="215"/>
      <c r="B155" s="215"/>
      <c r="E155" s="183" t="s">
        <v>179</v>
      </c>
      <c r="F155" s="183">
        <v>170</v>
      </c>
    </row>
    <row r="156" spans="1:6" ht="13" x14ac:dyDescent="0.15">
      <c r="A156" s="215"/>
      <c r="B156" s="215"/>
      <c r="E156" s="183" t="s">
        <v>154</v>
      </c>
      <c r="F156" s="183">
        <v>110</v>
      </c>
    </row>
    <row r="157" spans="1:6" ht="13" x14ac:dyDescent="0.15">
      <c r="A157" s="215"/>
      <c r="B157" s="215"/>
      <c r="E157" s="183" t="s">
        <v>584</v>
      </c>
      <c r="F157" s="183">
        <v>110</v>
      </c>
    </row>
    <row r="158" spans="1:6" ht="13" x14ac:dyDescent="0.15">
      <c r="A158" s="215"/>
      <c r="B158" s="215"/>
      <c r="E158" s="183" t="s">
        <v>34</v>
      </c>
      <c r="F158" s="183">
        <v>100</v>
      </c>
    </row>
    <row r="159" spans="1:6" ht="13" x14ac:dyDescent="0.15">
      <c r="A159" s="215"/>
      <c r="B159" s="215"/>
      <c r="E159" s="193" t="s">
        <v>191</v>
      </c>
      <c r="F159" s="220">
        <v>70</v>
      </c>
    </row>
    <row r="160" spans="1:6" ht="13" x14ac:dyDescent="0.15">
      <c r="A160" s="215"/>
      <c r="B160" s="215"/>
      <c r="E160" s="193" t="s">
        <v>209</v>
      </c>
      <c r="F160" s="220">
        <v>70</v>
      </c>
    </row>
    <row r="161" spans="1:6" ht="13" x14ac:dyDescent="0.15">
      <c r="A161" s="215"/>
      <c r="B161" s="215"/>
      <c r="E161" s="215" t="s">
        <v>191</v>
      </c>
      <c r="F161" s="215">
        <v>70</v>
      </c>
    </row>
    <row r="162" spans="1:6" ht="13" x14ac:dyDescent="0.15">
      <c r="A162" s="215"/>
      <c r="B162" s="215"/>
      <c r="E162" s="215" t="s">
        <v>209</v>
      </c>
      <c r="F162" s="215">
        <v>70</v>
      </c>
    </row>
    <row r="163" spans="1:6" ht="13" x14ac:dyDescent="0.15">
      <c r="A163" s="215"/>
      <c r="B163" s="215"/>
      <c r="E163" s="183" t="s">
        <v>216</v>
      </c>
      <c r="F163" s="183">
        <v>50</v>
      </c>
    </row>
    <row r="164" spans="1:6" ht="13" x14ac:dyDescent="0.15">
      <c r="A164" s="215"/>
      <c r="B164" s="215"/>
      <c r="E164" s="183" t="s">
        <v>586</v>
      </c>
      <c r="F164" s="183">
        <v>40</v>
      </c>
    </row>
    <row r="165" spans="1:6" ht="13" x14ac:dyDescent="0.15">
      <c r="A165" s="215"/>
      <c r="B165" s="215"/>
      <c r="E165" s="183" t="s">
        <v>259</v>
      </c>
      <c r="F165" s="183">
        <v>40</v>
      </c>
    </row>
    <row r="166" spans="1:6" ht="13" x14ac:dyDescent="0.15">
      <c r="A166" s="215"/>
      <c r="B166" s="215"/>
      <c r="E166" s="183" t="s">
        <v>289</v>
      </c>
      <c r="F166" s="183">
        <v>20</v>
      </c>
    </row>
    <row r="167" spans="1:6" ht="13" x14ac:dyDescent="0.15">
      <c r="A167" s="215"/>
      <c r="B167" s="215"/>
      <c r="E167" s="183" t="s">
        <v>334</v>
      </c>
      <c r="F167" s="183">
        <v>20</v>
      </c>
    </row>
    <row r="168" spans="1:6" ht="13" x14ac:dyDescent="0.15">
      <c r="A168" s="215"/>
      <c r="B168" s="215"/>
      <c r="E168" s="183" t="s">
        <v>382</v>
      </c>
      <c r="F168" s="183">
        <v>10</v>
      </c>
    </row>
    <row r="169" spans="1:6" ht="13" x14ac:dyDescent="0.15">
      <c r="A169" s="215"/>
      <c r="B169" s="215"/>
      <c r="E169" s="183" t="s">
        <v>388</v>
      </c>
      <c r="F169" s="183">
        <v>10</v>
      </c>
    </row>
    <row r="170" spans="1:6" ht="13" x14ac:dyDescent="0.15">
      <c r="A170" s="215"/>
      <c r="B170" s="215"/>
      <c r="E170" s="183" t="s">
        <v>396</v>
      </c>
      <c r="F170" s="183">
        <v>10</v>
      </c>
    </row>
    <row r="171" spans="1:6" ht="13" x14ac:dyDescent="0.15">
      <c r="A171" s="215"/>
      <c r="B171" s="215"/>
      <c r="E171" s="215" t="s">
        <v>475</v>
      </c>
      <c r="F171" s="215">
        <v>10</v>
      </c>
    </row>
    <row r="172" spans="1:6" ht="13" x14ac:dyDescent="0.15">
      <c r="A172" s="215"/>
      <c r="B172" s="215"/>
      <c r="E172" s="215" t="s">
        <v>476</v>
      </c>
      <c r="F172" s="215">
        <v>10</v>
      </c>
    </row>
    <row r="173" spans="1:6" ht="13" x14ac:dyDescent="0.15">
      <c r="A173" s="215"/>
      <c r="B173" s="215"/>
      <c r="E173" s="193" t="s">
        <v>405</v>
      </c>
      <c r="F173" s="198">
        <v>10</v>
      </c>
    </row>
    <row r="174" spans="1:6" ht="13" x14ac:dyDescent="0.15">
      <c r="A174" s="215"/>
      <c r="B174" s="215"/>
      <c r="E174" s="215" t="s">
        <v>483</v>
      </c>
      <c r="F174" s="215">
        <v>10</v>
      </c>
    </row>
    <row r="175" spans="1:6" ht="13" x14ac:dyDescent="0.15">
      <c r="A175" s="215"/>
      <c r="B175" s="215"/>
      <c r="E175" s="193" t="s">
        <v>475</v>
      </c>
      <c r="F175" s="220">
        <v>10</v>
      </c>
    </row>
    <row r="176" spans="1:6" ht="13" x14ac:dyDescent="0.15">
      <c r="A176" s="215"/>
      <c r="B176" s="215"/>
      <c r="E176" s="193" t="s">
        <v>727</v>
      </c>
      <c r="F176" s="220">
        <v>10</v>
      </c>
    </row>
    <row r="177" spans="1:9" ht="13" x14ac:dyDescent="0.15">
      <c r="A177" s="215"/>
      <c r="B177" s="215"/>
      <c r="E177" s="193" t="s">
        <v>506</v>
      </c>
      <c r="F177" s="220">
        <v>10</v>
      </c>
    </row>
    <row r="178" spans="1:9" ht="13" x14ac:dyDescent="0.15">
      <c r="A178" s="215"/>
      <c r="B178" s="215"/>
      <c r="E178" s="215" t="s">
        <v>386</v>
      </c>
      <c r="F178" s="215">
        <v>10</v>
      </c>
    </row>
    <row r="179" spans="1:9" ht="13" x14ac:dyDescent="0.15">
      <c r="A179" s="215"/>
      <c r="B179" s="215"/>
      <c r="E179" s="215" t="s">
        <v>471</v>
      </c>
      <c r="F179" s="215">
        <v>10</v>
      </c>
    </row>
    <row r="180" spans="1:9" ht="13" x14ac:dyDescent="0.15">
      <c r="A180" s="215"/>
      <c r="B180" s="215"/>
      <c r="E180" s="183" t="s">
        <v>392</v>
      </c>
      <c r="F180" s="183">
        <v>10</v>
      </c>
    </row>
    <row r="181" spans="1:9" ht="13" x14ac:dyDescent="0.15">
      <c r="A181" s="215"/>
      <c r="B181" s="215"/>
      <c r="E181" s="215" t="s">
        <v>509</v>
      </c>
      <c r="F181" s="215">
        <v>10</v>
      </c>
    </row>
    <row r="182" spans="1:9" ht="13" x14ac:dyDescent="0.15">
      <c r="A182" s="215"/>
      <c r="B182" s="215"/>
      <c r="E182" s="204" t="s">
        <v>825</v>
      </c>
      <c r="F182" s="214">
        <f>SUM(F153:F181)</f>
        <v>2400</v>
      </c>
    </row>
    <row r="183" spans="1:9" ht="13" x14ac:dyDescent="0.15">
      <c r="A183" s="215"/>
      <c r="B183" s="215"/>
      <c r="E183" s="204"/>
      <c r="F183" s="214"/>
    </row>
    <row r="184" spans="1:9" ht="13" x14ac:dyDescent="0.15">
      <c r="A184" s="215"/>
      <c r="B184" s="215"/>
      <c r="E184" s="204"/>
      <c r="F184" s="214"/>
    </row>
    <row r="185" spans="1:9" ht="13" x14ac:dyDescent="0.15">
      <c r="A185" s="215"/>
      <c r="B185" s="215"/>
      <c r="E185" s="204"/>
      <c r="F185" s="214"/>
      <c r="G185" s="210" t="s">
        <v>835</v>
      </c>
      <c r="H185" s="211" t="s">
        <v>826</v>
      </c>
    </row>
    <row r="186" spans="1:9" ht="13" x14ac:dyDescent="0.15">
      <c r="A186" s="215"/>
      <c r="B186" s="215"/>
      <c r="E186" s="204"/>
      <c r="F186" s="214"/>
      <c r="G186" s="183" t="s">
        <v>715</v>
      </c>
      <c r="H186" s="183">
        <v>20</v>
      </c>
    </row>
    <row r="187" spans="1:9" ht="13" x14ac:dyDescent="0.15">
      <c r="A187" s="215"/>
      <c r="B187" s="215"/>
      <c r="E187" s="204"/>
      <c r="F187" s="214"/>
      <c r="G187" s="204" t="s">
        <v>825</v>
      </c>
      <c r="H187" s="204">
        <v>20</v>
      </c>
    </row>
    <row r="188" spans="1:9" ht="13" x14ac:dyDescent="0.15">
      <c r="A188" s="215"/>
      <c r="B188" s="215"/>
      <c r="E188" s="204"/>
      <c r="F188" s="214"/>
      <c r="G188" s="204"/>
      <c r="H188" s="204"/>
    </row>
    <row r="189" spans="1:9" ht="13" x14ac:dyDescent="0.15">
      <c r="A189" s="215"/>
      <c r="B189" s="215"/>
      <c r="E189" s="204"/>
      <c r="F189" s="214"/>
      <c r="G189" s="204"/>
      <c r="H189" s="204"/>
    </row>
    <row r="190" spans="1:9" ht="13" x14ac:dyDescent="0.15">
      <c r="A190" s="215"/>
      <c r="B190" s="215"/>
      <c r="G190" s="210" t="s">
        <v>828</v>
      </c>
      <c r="H190" s="211" t="s">
        <v>826</v>
      </c>
      <c r="I190" s="261" t="s">
        <v>998</v>
      </c>
    </row>
    <row r="191" spans="1:9" ht="13" x14ac:dyDescent="0.15">
      <c r="A191" s="215"/>
      <c r="B191" s="215"/>
      <c r="G191" s="215" t="s">
        <v>285</v>
      </c>
      <c r="H191" s="215">
        <v>30</v>
      </c>
    </row>
    <row r="192" spans="1:9" ht="13" x14ac:dyDescent="0.15">
      <c r="A192" s="215"/>
      <c r="B192" s="215"/>
      <c r="G192" s="219" t="s">
        <v>257</v>
      </c>
      <c r="H192" s="219">
        <v>30</v>
      </c>
    </row>
    <row r="193" spans="1:8" ht="13" x14ac:dyDescent="0.15">
      <c r="A193" s="215"/>
      <c r="B193" s="215"/>
      <c r="G193" s="183" t="s">
        <v>293</v>
      </c>
      <c r="H193" s="183">
        <v>30</v>
      </c>
    </row>
    <row r="194" spans="1:8" ht="13" x14ac:dyDescent="0.15">
      <c r="A194" s="215"/>
      <c r="B194" s="215"/>
      <c r="G194" s="183" t="s">
        <v>720</v>
      </c>
      <c r="H194" s="183">
        <v>10</v>
      </c>
    </row>
    <row r="195" spans="1:8" ht="13" x14ac:dyDescent="0.15">
      <c r="A195" s="215"/>
      <c r="B195" s="215"/>
      <c r="G195" s="183" t="s">
        <v>389</v>
      </c>
      <c r="H195" s="183">
        <v>10</v>
      </c>
    </row>
    <row r="196" spans="1:8" ht="13" x14ac:dyDescent="0.15">
      <c r="A196" s="215"/>
      <c r="B196" s="215"/>
      <c r="G196" s="183" t="s">
        <v>704</v>
      </c>
      <c r="H196" s="183">
        <v>10</v>
      </c>
    </row>
    <row r="197" spans="1:8" ht="13" x14ac:dyDescent="0.15">
      <c r="A197" s="215"/>
      <c r="B197" s="215"/>
      <c r="G197" s="215" t="s">
        <v>467</v>
      </c>
      <c r="H197" s="215">
        <v>10</v>
      </c>
    </row>
    <row r="198" spans="1:8" ht="13" x14ac:dyDescent="0.15">
      <c r="A198" s="215"/>
      <c r="B198" s="215"/>
      <c r="G198" s="204" t="s">
        <v>825</v>
      </c>
      <c r="H198" s="214">
        <f>SUM(H191:H197)</f>
        <v>130</v>
      </c>
    </row>
    <row r="199" spans="1:8" ht="13" x14ac:dyDescent="0.15">
      <c r="A199" s="215"/>
      <c r="B199" s="215"/>
      <c r="G199" s="204"/>
      <c r="H199" s="214"/>
    </row>
    <row r="200" spans="1:8" ht="13" x14ac:dyDescent="0.15">
      <c r="A200" s="215"/>
      <c r="B200" s="215"/>
      <c r="E200" s="210" t="s">
        <v>829</v>
      </c>
      <c r="F200" s="211" t="s">
        <v>826</v>
      </c>
    </row>
    <row r="201" spans="1:8" ht="13" x14ac:dyDescent="0.15">
      <c r="A201" s="215"/>
      <c r="B201" s="215"/>
      <c r="E201" s="183" t="s">
        <v>699</v>
      </c>
      <c r="F201" s="183">
        <v>10</v>
      </c>
    </row>
    <row r="202" spans="1:8" ht="13" x14ac:dyDescent="0.15">
      <c r="A202" s="215"/>
      <c r="B202" s="215"/>
      <c r="E202" s="183" t="s">
        <v>698</v>
      </c>
      <c r="F202" s="183">
        <v>10</v>
      </c>
    </row>
    <row r="203" spans="1:8" ht="13" x14ac:dyDescent="0.15">
      <c r="A203" s="215"/>
      <c r="B203" s="215"/>
      <c r="E203" s="204" t="s">
        <v>825</v>
      </c>
      <c r="F203" s="214">
        <f>SUM(F201:F202)</f>
        <v>20</v>
      </c>
    </row>
    <row r="204" spans="1:8" ht="13" x14ac:dyDescent="0.15">
      <c r="A204" s="215"/>
      <c r="B204" s="215"/>
    </row>
    <row r="205" spans="1:8" ht="13" x14ac:dyDescent="0.15">
      <c r="A205" s="215"/>
      <c r="B205" s="215"/>
      <c r="E205" s="210" t="s">
        <v>836</v>
      </c>
      <c r="F205" s="211" t="s">
        <v>826</v>
      </c>
    </row>
    <row r="206" spans="1:8" ht="13" x14ac:dyDescent="0.15">
      <c r="A206" s="215"/>
      <c r="B206" s="215"/>
      <c r="E206" s="183" t="s">
        <v>655</v>
      </c>
      <c r="F206" s="183">
        <v>30</v>
      </c>
    </row>
    <row r="207" spans="1:8" ht="13" x14ac:dyDescent="0.15">
      <c r="A207" s="215"/>
      <c r="B207" s="215"/>
      <c r="E207" s="183" t="s">
        <v>336</v>
      </c>
      <c r="F207" s="183">
        <v>20</v>
      </c>
    </row>
    <row r="208" spans="1:8" ht="13" x14ac:dyDescent="0.15">
      <c r="A208" s="215"/>
      <c r="B208" s="215"/>
      <c r="E208" s="204" t="s">
        <v>402</v>
      </c>
      <c r="F208" s="204">
        <v>10</v>
      </c>
    </row>
    <row r="209" spans="1:9" ht="13" x14ac:dyDescent="0.15">
      <c r="A209" s="215"/>
      <c r="B209" s="215"/>
      <c r="E209" s="204" t="s">
        <v>825</v>
      </c>
      <c r="F209" s="214">
        <f>SUM(F206:F208)</f>
        <v>60</v>
      </c>
    </row>
    <row r="210" spans="1:9" ht="13" x14ac:dyDescent="0.15">
      <c r="A210" s="215"/>
      <c r="B210" s="215"/>
    </row>
    <row r="211" spans="1:9" ht="13" x14ac:dyDescent="0.15">
      <c r="A211" s="215"/>
      <c r="B211" s="215"/>
      <c r="E211" s="210" t="s">
        <v>837</v>
      </c>
      <c r="F211" s="211" t="s">
        <v>826</v>
      </c>
    </row>
    <row r="212" spans="1:9" ht="13" x14ac:dyDescent="0.15">
      <c r="A212" s="215"/>
      <c r="B212" s="215"/>
      <c r="E212" s="183" t="s">
        <v>110</v>
      </c>
      <c r="F212" s="183">
        <v>210</v>
      </c>
    </row>
    <row r="213" spans="1:9" ht="13" x14ac:dyDescent="0.15">
      <c r="A213" s="215"/>
      <c r="B213" s="215"/>
      <c r="E213" s="183" t="s">
        <v>118</v>
      </c>
      <c r="F213" s="183">
        <v>210</v>
      </c>
    </row>
    <row r="214" spans="1:9" ht="13" x14ac:dyDescent="0.15">
      <c r="A214" s="215"/>
      <c r="B214" s="215"/>
      <c r="E214" s="183" t="s">
        <v>327</v>
      </c>
      <c r="F214" s="183">
        <v>20</v>
      </c>
    </row>
    <row r="215" spans="1:9" ht="13" x14ac:dyDescent="0.15">
      <c r="A215" s="215"/>
      <c r="B215" s="215"/>
      <c r="E215" s="183" t="s">
        <v>409</v>
      </c>
      <c r="F215" s="183">
        <v>10</v>
      </c>
    </row>
    <row r="216" spans="1:9" ht="13" x14ac:dyDescent="0.15">
      <c r="A216" s="215"/>
      <c r="B216" s="215"/>
      <c r="E216" s="193" t="s">
        <v>474</v>
      </c>
      <c r="F216" s="220">
        <v>10</v>
      </c>
    </row>
    <row r="217" spans="1:9" ht="13" x14ac:dyDescent="0.15">
      <c r="A217" s="215"/>
      <c r="B217" s="215"/>
      <c r="E217" s="193" t="s">
        <v>482</v>
      </c>
      <c r="F217" s="220">
        <v>10</v>
      </c>
    </row>
    <row r="218" spans="1:9" ht="13" x14ac:dyDescent="0.15">
      <c r="A218" s="215"/>
      <c r="B218" s="215"/>
      <c r="E218" s="204" t="s">
        <v>825</v>
      </c>
      <c r="F218" s="214">
        <f>SUM(F212:F217)</f>
        <v>470</v>
      </c>
    </row>
    <row r="219" spans="1:9" ht="13" x14ac:dyDescent="0.15">
      <c r="A219" s="215"/>
      <c r="B219" s="215"/>
    </row>
    <row r="220" spans="1:9" ht="13" x14ac:dyDescent="0.15">
      <c r="A220" s="215"/>
      <c r="B220" s="215"/>
      <c r="G220" s="210" t="s">
        <v>828</v>
      </c>
      <c r="H220" s="211" t="s">
        <v>826</v>
      </c>
      <c r="I220" s="261" t="s">
        <v>998</v>
      </c>
    </row>
    <row r="221" spans="1:9" ht="13" x14ac:dyDescent="0.15">
      <c r="A221" s="215"/>
      <c r="B221" s="215"/>
      <c r="G221" s="183" t="s">
        <v>416</v>
      </c>
      <c r="H221" s="183">
        <v>10</v>
      </c>
    </row>
    <row r="222" spans="1:9" ht="13" x14ac:dyDescent="0.15">
      <c r="A222" s="215"/>
      <c r="B222" s="215"/>
      <c r="G222" s="183" t="s">
        <v>420</v>
      </c>
      <c r="H222" s="183">
        <v>10</v>
      </c>
    </row>
    <row r="223" spans="1:9" ht="13" x14ac:dyDescent="0.15">
      <c r="A223" s="215"/>
      <c r="B223" s="215"/>
      <c r="G223" s="204" t="s">
        <v>825</v>
      </c>
      <c r="H223" s="214">
        <f>SUM(H221:H222)</f>
        <v>20</v>
      </c>
    </row>
    <row r="224" spans="1:9" ht="13" x14ac:dyDescent="0.15">
      <c r="A224" s="215"/>
      <c r="B224" s="215"/>
      <c r="G224" s="219"/>
      <c r="H224" s="214"/>
    </row>
    <row r="225" spans="1:9" ht="13" x14ac:dyDescent="0.15">
      <c r="A225" s="215"/>
      <c r="B225" s="215"/>
      <c r="E225" s="210" t="s">
        <v>838</v>
      </c>
      <c r="F225" s="211" t="s">
        <v>826</v>
      </c>
      <c r="G225" s="204"/>
    </row>
    <row r="226" spans="1:9" ht="13" x14ac:dyDescent="0.15">
      <c r="A226" s="215"/>
      <c r="B226" s="215"/>
      <c r="E226" s="183" t="s">
        <v>779</v>
      </c>
      <c r="F226" s="183">
        <v>10</v>
      </c>
    </row>
    <row r="227" spans="1:9" ht="13" x14ac:dyDescent="0.15">
      <c r="A227" s="215"/>
      <c r="B227" s="215"/>
      <c r="E227" s="204" t="s">
        <v>825</v>
      </c>
      <c r="F227" s="204">
        <v>10</v>
      </c>
    </row>
    <row r="228" spans="1:9" ht="13" x14ac:dyDescent="0.15">
      <c r="A228" s="215"/>
      <c r="B228" s="215"/>
      <c r="E228" s="204"/>
      <c r="F228" s="204"/>
    </row>
    <row r="229" spans="1:9" ht="13" x14ac:dyDescent="0.15">
      <c r="A229" s="215"/>
      <c r="B229" s="215"/>
      <c r="G229" s="210" t="s">
        <v>828</v>
      </c>
      <c r="H229" s="211" t="s">
        <v>826</v>
      </c>
      <c r="I229" s="261" t="s">
        <v>998</v>
      </c>
    </row>
    <row r="230" spans="1:9" ht="13" x14ac:dyDescent="0.15">
      <c r="A230" s="215"/>
      <c r="B230" s="215"/>
      <c r="E230" s="204"/>
      <c r="G230" s="204" t="s">
        <v>780</v>
      </c>
      <c r="H230" s="204">
        <v>10</v>
      </c>
    </row>
    <row r="231" spans="1:9" ht="13" x14ac:dyDescent="0.15">
      <c r="A231" s="215"/>
      <c r="B231" s="215"/>
      <c r="G231" s="204" t="s">
        <v>825</v>
      </c>
      <c r="H231" s="204">
        <v>10</v>
      </c>
    </row>
    <row r="232" spans="1:9" ht="13" x14ac:dyDescent="0.15">
      <c r="A232" s="215"/>
      <c r="B232" s="215"/>
    </row>
    <row r="233" spans="1:9" ht="13" x14ac:dyDescent="0.15">
      <c r="A233" s="215"/>
      <c r="B233" s="215"/>
      <c r="E233" s="210" t="s">
        <v>839</v>
      </c>
      <c r="F233" s="211" t="s">
        <v>826</v>
      </c>
    </row>
    <row r="234" spans="1:9" ht="13" x14ac:dyDescent="0.15">
      <c r="A234" s="215"/>
      <c r="B234" s="215"/>
      <c r="E234" s="183" t="s">
        <v>783</v>
      </c>
      <c r="F234" s="183">
        <v>10</v>
      </c>
    </row>
    <row r="235" spans="1:9" ht="13" x14ac:dyDescent="0.15">
      <c r="A235" s="215"/>
      <c r="B235" s="215"/>
      <c r="E235" s="204" t="s">
        <v>825</v>
      </c>
      <c r="F235" s="204">
        <v>10</v>
      </c>
    </row>
    <row r="236" spans="1:9" ht="13" x14ac:dyDescent="0.15">
      <c r="A236" s="215"/>
      <c r="B236" s="215"/>
    </row>
    <row r="237" spans="1:9" ht="13" x14ac:dyDescent="0.15">
      <c r="A237" s="215"/>
      <c r="B237" s="215"/>
      <c r="E237" s="210" t="s">
        <v>840</v>
      </c>
      <c r="F237" s="211" t="s">
        <v>826</v>
      </c>
    </row>
    <row r="238" spans="1:9" ht="13" x14ac:dyDescent="0.15">
      <c r="A238" s="215"/>
      <c r="B238" s="215"/>
      <c r="E238" s="183" t="s">
        <v>811</v>
      </c>
      <c r="F238" s="183">
        <v>10</v>
      </c>
    </row>
    <row r="239" spans="1:9" ht="13" x14ac:dyDescent="0.15">
      <c r="A239" s="215"/>
      <c r="B239" s="215"/>
      <c r="E239" s="204" t="s">
        <v>825</v>
      </c>
      <c r="F239" s="204">
        <v>10</v>
      </c>
    </row>
    <row r="240" spans="1:9" ht="13" x14ac:dyDescent="0.15">
      <c r="A240" s="215"/>
      <c r="B240" s="215"/>
    </row>
    <row r="241" spans="1:9" ht="13" x14ac:dyDescent="0.15">
      <c r="A241" s="215"/>
      <c r="B241" s="215"/>
      <c r="E241" s="210" t="s">
        <v>841</v>
      </c>
      <c r="F241" s="211" t="s">
        <v>826</v>
      </c>
    </row>
    <row r="242" spans="1:9" ht="13" x14ac:dyDescent="0.15">
      <c r="A242" s="215"/>
      <c r="B242" s="215"/>
      <c r="E242" s="183" t="s">
        <v>426</v>
      </c>
      <c r="F242" s="183">
        <v>10</v>
      </c>
    </row>
    <row r="243" spans="1:9" ht="13" x14ac:dyDescent="0.15">
      <c r="A243" s="215"/>
      <c r="B243" s="215"/>
      <c r="E243" s="204" t="s">
        <v>722</v>
      </c>
      <c r="F243" s="204">
        <v>10</v>
      </c>
    </row>
    <row r="244" spans="1:9" ht="13" x14ac:dyDescent="0.15">
      <c r="A244" s="215"/>
      <c r="B244" s="215"/>
      <c r="E244" s="183" t="s">
        <v>564</v>
      </c>
      <c r="F244" s="183">
        <v>10</v>
      </c>
    </row>
    <row r="245" spans="1:9" ht="13" x14ac:dyDescent="0.15">
      <c r="A245" s="215"/>
      <c r="B245" s="215"/>
      <c r="E245" s="183" t="s">
        <v>412</v>
      </c>
      <c r="F245" s="183">
        <v>10</v>
      </c>
    </row>
    <row r="246" spans="1:9" ht="13" x14ac:dyDescent="0.15">
      <c r="A246" s="215"/>
      <c r="B246" s="215"/>
      <c r="E246" s="204" t="s">
        <v>825</v>
      </c>
      <c r="F246" s="214">
        <f>SUM(F242:F245)</f>
        <v>40</v>
      </c>
    </row>
    <row r="247" spans="1:9" ht="13" x14ac:dyDescent="0.15">
      <c r="A247" s="215"/>
      <c r="B247" s="215"/>
    </row>
    <row r="248" spans="1:9" ht="13" x14ac:dyDescent="0.15">
      <c r="A248" s="215"/>
      <c r="B248" s="215"/>
      <c r="G248" s="210" t="s">
        <v>828</v>
      </c>
      <c r="H248" s="211" t="s">
        <v>826</v>
      </c>
      <c r="I248" s="261" t="s">
        <v>998</v>
      </c>
    </row>
    <row r="249" spans="1:9" ht="13" x14ac:dyDescent="0.15">
      <c r="A249" s="215"/>
      <c r="B249" s="215"/>
      <c r="G249" s="183" t="s">
        <v>723</v>
      </c>
      <c r="H249" s="183">
        <v>10</v>
      </c>
    </row>
    <row r="250" spans="1:9" ht="13" x14ac:dyDescent="0.15">
      <c r="A250" s="215"/>
      <c r="B250" s="215"/>
      <c r="G250" s="204" t="s">
        <v>825</v>
      </c>
      <c r="H250" s="204">
        <v>10</v>
      </c>
    </row>
    <row r="251" spans="1:9" ht="13" x14ac:dyDescent="0.15">
      <c r="A251" s="215"/>
      <c r="B251" s="215"/>
      <c r="C251" s="215"/>
      <c r="D251" s="215"/>
    </row>
    <row r="252" spans="1:9" ht="13" x14ac:dyDescent="0.15">
      <c r="A252" s="215"/>
      <c r="B252" s="215"/>
      <c r="C252" s="215"/>
      <c r="D252" s="215"/>
      <c r="E252" s="210" t="s">
        <v>828</v>
      </c>
      <c r="F252" s="211" t="s">
        <v>826</v>
      </c>
      <c r="G252" s="261" t="s">
        <v>998</v>
      </c>
    </row>
    <row r="253" spans="1:9" ht="13" x14ac:dyDescent="0.15">
      <c r="A253" s="215"/>
      <c r="B253" s="215"/>
      <c r="C253" s="215"/>
      <c r="D253" s="215"/>
      <c r="E253" s="215" t="s">
        <v>141</v>
      </c>
      <c r="F253" s="183">
        <v>140</v>
      </c>
    </row>
    <row r="254" spans="1:9" ht="13" x14ac:dyDescent="0.15">
      <c r="A254" s="215"/>
      <c r="B254" s="215"/>
      <c r="C254" s="215"/>
      <c r="D254" s="215"/>
      <c r="E254" s="215" t="s">
        <v>421</v>
      </c>
      <c r="F254" s="183">
        <v>10</v>
      </c>
    </row>
    <row r="255" spans="1:9" ht="13" x14ac:dyDescent="0.15">
      <c r="A255" s="215"/>
      <c r="B255" s="215"/>
      <c r="C255" s="215"/>
      <c r="D255" s="215"/>
      <c r="E255" s="215" t="s">
        <v>488</v>
      </c>
      <c r="F255" s="215">
        <v>10</v>
      </c>
    </row>
    <row r="256" spans="1:9" ht="13" x14ac:dyDescent="0.15">
      <c r="A256" s="215"/>
      <c r="B256" s="215"/>
      <c r="C256" s="215"/>
      <c r="D256" s="215"/>
      <c r="E256" s="215" t="s">
        <v>706</v>
      </c>
      <c r="F256" s="183">
        <v>10</v>
      </c>
    </row>
    <row r="257" spans="1:6" ht="13" x14ac:dyDescent="0.15">
      <c r="A257" s="215"/>
      <c r="B257" s="215"/>
      <c r="C257" s="215"/>
      <c r="D257" s="215"/>
      <c r="E257" s="204" t="s">
        <v>825</v>
      </c>
      <c r="F257" s="214">
        <f>SUM(F253:F256)</f>
        <v>170</v>
      </c>
    </row>
    <row r="258" spans="1:6" ht="13" x14ac:dyDescent="0.15">
      <c r="A258" s="215"/>
      <c r="B258" s="215"/>
      <c r="C258" s="215"/>
      <c r="D258" s="215"/>
    </row>
    <row r="259" spans="1:6" ht="13" x14ac:dyDescent="0.15">
      <c r="A259" s="215"/>
      <c r="B259" s="215"/>
      <c r="C259" s="215"/>
      <c r="D259" s="215"/>
      <c r="E259" s="210" t="s">
        <v>1015</v>
      </c>
      <c r="F259" s="223" t="s">
        <v>826</v>
      </c>
    </row>
    <row r="260" spans="1:6" ht="13" x14ac:dyDescent="0.15">
      <c r="A260" s="215"/>
      <c r="B260" s="215"/>
      <c r="C260" s="215"/>
      <c r="D260" s="215"/>
      <c r="E260" t="s">
        <v>326</v>
      </c>
      <c r="F260">
        <v>30</v>
      </c>
    </row>
    <row r="261" spans="1:6" ht="13" x14ac:dyDescent="0.15">
      <c r="A261" s="215"/>
      <c r="B261" s="215"/>
      <c r="C261" s="215"/>
      <c r="D261" s="215"/>
    </row>
    <row r="262" spans="1:6" ht="13" x14ac:dyDescent="0.15">
      <c r="A262" s="215"/>
      <c r="B262" s="215"/>
      <c r="C262" s="215"/>
      <c r="D262" s="215"/>
      <c r="E262" s="210" t="s">
        <v>1014</v>
      </c>
      <c r="F262" s="223" t="s">
        <v>826</v>
      </c>
    </row>
    <row r="263" spans="1:6" ht="13" x14ac:dyDescent="0.15">
      <c r="A263" s="215"/>
      <c r="B263" s="215"/>
      <c r="C263" s="215"/>
      <c r="D263" s="215"/>
      <c r="E263" s="215" t="s">
        <v>342</v>
      </c>
      <c r="F263" s="215">
        <v>20</v>
      </c>
    </row>
    <row r="264" spans="1:6" ht="13" x14ac:dyDescent="0.15">
      <c r="A264" s="215"/>
      <c r="B264" s="215"/>
      <c r="C264" s="215"/>
      <c r="D264" s="215"/>
    </row>
    <row r="265" spans="1:6" ht="13" x14ac:dyDescent="0.15">
      <c r="A265" s="215"/>
      <c r="B265" s="215"/>
      <c r="C265" s="215"/>
      <c r="D265" s="215"/>
    </row>
    <row r="266" spans="1:6" ht="13" x14ac:dyDescent="0.15">
      <c r="A266" s="215"/>
      <c r="B266" s="215"/>
      <c r="C266" s="215"/>
      <c r="D266" s="215"/>
    </row>
    <row r="267" spans="1:6" ht="13" x14ac:dyDescent="0.15">
      <c r="A267" s="215"/>
      <c r="B267" s="215"/>
      <c r="C267" s="210" t="s">
        <v>1001</v>
      </c>
      <c r="D267" s="211" t="s">
        <v>826</v>
      </c>
    </row>
    <row r="268" spans="1:6" ht="13" x14ac:dyDescent="0.15">
      <c r="A268" s="215"/>
      <c r="B268" s="215"/>
      <c r="C268" s="183" t="s">
        <v>108</v>
      </c>
      <c r="D268" s="183">
        <v>210</v>
      </c>
    </row>
    <row r="269" spans="1:6" ht="13" x14ac:dyDescent="0.15">
      <c r="A269" s="215"/>
      <c r="B269" s="215"/>
      <c r="C269" s="221" t="s">
        <v>98</v>
      </c>
      <c r="D269" s="222">
        <v>210</v>
      </c>
    </row>
    <row r="270" spans="1:6" ht="13" x14ac:dyDescent="0.15">
      <c r="A270" s="215"/>
      <c r="B270" s="215"/>
      <c r="C270" s="193" t="s">
        <v>177</v>
      </c>
      <c r="D270" s="198">
        <v>90</v>
      </c>
    </row>
    <row r="271" spans="1:6" ht="13" x14ac:dyDescent="0.15">
      <c r="A271" s="215"/>
      <c r="B271" s="215"/>
      <c r="C271" s="183" t="s">
        <v>258</v>
      </c>
      <c r="D271" s="183">
        <v>40</v>
      </c>
    </row>
    <row r="272" spans="1:6" ht="13" x14ac:dyDescent="0.15">
      <c r="A272" s="215"/>
      <c r="B272" s="215"/>
      <c r="C272" s="183" t="s">
        <v>361</v>
      </c>
      <c r="D272" s="183">
        <v>20</v>
      </c>
    </row>
    <row r="273" spans="1:7" ht="13" x14ac:dyDescent="0.15">
      <c r="A273" s="215"/>
      <c r="B273" s="215"/>
      <c r="C273" s="215" t="s">
        <v>361</v>
      </c>
      <c r="D273" s="215">
        <v>20</v>
      </c>
    </row>
    <row r="274" spans="1:7" ht="13" x14ac:dyDescent="0.15">
      <c r="A274" s="215"/>
      <c r="B274" s="215"/>
      <c r="C274" s="183" t="s">
        <v>379</v>
      </c>
      <c r="D274" s="183">
        <v>20</v>
      </c>
    </row>
    <row r="275" spans="1:7" ht="13" x14ac:dyDescent="0.15">
      <c r="A275" s="215"/>
      <c r="B275" s="215"/>
      <c r="C275" s="183" t="s">
        <v>478</v>
      </c>
      <c r="D275" s="183">
        <v>10</v>
      </c>
    </row>
    <row r="276" spans="1:7" ht="13" x14ac:dyDescent="0.15">
      <c r="A276" s="215"/>
      <c r="B276" s="215"/>
      <c r="C276" s="183" t="s">
        <v>545</v>
      </c>
      <c r="D276" s="183">
        <v>10</v>
      </c>
    </row>
    <row r="277" spans="1:7" ht="13" x14ac:dyDescent="0.15">
      <c r="A277" s="215"/>
      <c r="B277" s="215"/>
      <c r="C277" s="183" t="s">
        <v>399</v>
      </c>
      <c r="D277" s="183">
        <v>10</v>
      </c>
    </row>
    <row r="278" spans="1:7" ht="13" x14ac:dyDescent="0.15">
      <c r="A278" s="215"/>
      <c r="B278" s="215"/>
      <c r="C278" s="183" t="s">
        <v>516</v>
      </c>
      <c r="D278" s="183">
        <v>10</v>
      </c>
    </row>
    <row r="279" spans="1:7" ht="13" x14ac:dyDescent="0.15">
      <c r="A279" s="215"/>
      <c r="B279" s="215"/>
      <c r="C279" s="212" t="s">
        <v>812</v>
      </c>
      <c r="D279" s="215">
        <v>10</v>
      </c>
    </row>
    <row r="280" spans="1:7" ht="13" x14ac:dyDescent="0.15">
      <c r="A280" s="215"/>
      <c r="B280" s="215"/>
      <c r="C280" s="212" t="s">
        <v>813</v>
      </c>
      <c r="D280" s="215">
        <v>10</v>
      </c>
    </row>
    <row r="281" spans="1:7" ht="13" x14ac:dyDescent="0.15">
      <c r="A281" s="215"/>
      <c r="B281" s="215"/>
      <c r="C281" s="204" t="s">
        <v>825</v>
      </c>
      <c r="D281" s="214">
        <f>SUM(D268:D280)</f>
        <v>670</v>
      </c>
    </row>
    <row r="282" spans="1:7" ht="13" x14ac:dyDescent="0.15">
      <c r="A282" s="215"/>
      <c r="B282" s="215"/>
    </row>
    <row r="283" spans="1:7" ht="13" x14ac:dyDescent="0.15">
      <c r="E283" s="210" t="s">
        <v>828</v>
      </c>
      <c r="F283" s="223" t="s">
        <v>826</v>
      </c>
      <c r="G283" s="261" t="s">
        <v>998</v>
      </c>
    </row>
    <row r="284" spans="1:7" ht="13" x14ac:dyDescent="0.15">
      <c r="E284" s="183" t="s">
        <v>228</v>
      </c>
      <c r="F284" s="183">
        <v>50</v>
      </c>
    </row>
    <row r="285" spans="1:7" ht="13" x14ac:dyDescent="0.15">
      <c r="E285" s="183" t="s">
        <v>400</v>
      </c>
      <c r="F285" s="183">
        <v>20</v>
      </c>
    </row>
    <row r="286" spans="1:7" ht="13" x14ac:dyDescent="0.15">
      <c r="E286" s="183" t="s">
        <v>401</v>
      </c>
      <c r="F286" s="183">
        <v>10</v>
      </c>
    </row>
    <row r="287" spans="1:7" ht="13" x14ac:dyDescent="0.15">
      <c r="E287" s="183" t="s">
        <v>809</v>
      </c>
      <c r="F287" s="183">
        <v>10</v>
      </c>
    </row>
    <row r="288" spans="1:7" ht="13" x14ac:dyDescent="0.15">
      <c r="E288" s="183" t="s">
        <v>295</v>
      </c>
      <c r="F288" s="183">
        <v>30</v>
      </c>
    </row>
    <row r="289" spans="3:6" ht="13" x14ac:dyDescent="0.15">
      <c r="E289" s="204" t="s">
        <v>825</v>
      </c>
      <c r="F289" s="214">
        <f>SUM(F284:F288)</f>
        <v>120</v>
      </c>
    </row>
    <row r="291" spans="3:6" ht="13" x14ac:dyDescent="0.15">
      <c r="C291" s="210" t="s">
        <v>1002</v>
      </c>
      <c r="D291" s="223" t="s">
        <v>826</v>
      </c>
    </row>
    <row r="292" spans="3:6" ht="13" x14ac:dyDescent="0.15">
      <c r="C292" s="183" t="s">
        <v>288</v>
      </c>
      <c r="D292" s="183">
        <v>20</v>
      </c>
    </row>
    <row r="293" spans="3:6" ht="13" x14ac:dyDescent="0.15">
      <c r="C293" s="183" t="s">
        <v>417</v>
      </c>
      <c r="D293" s="183">
        <v>10</v>
      </c>
    </row>
    <row r="294" spans="3:6" ht="13" x14ac:dyDescent="0.15">
      <c r="C294" s="204" t="s">
        <v>825</v>
      </c>
      <c r="D294" s="214">
        <f>SUM(D291:D293)</f>
        <v>30</v>
      </c>
    </row>
    <row r="296" spans="3:6" ht="13" x14ac:dyDescent="0.15">
      <c r="C296" s="210" t="s">
        <v>1003</v>
      </c>
      <c r="D296" s="223" t="s">
        <v>826</v>
      </c>
    </row>
    <row r="297" spans="3:6" ht="13" x14ac:dyDescent="0.15">
      <c r="C297" s="215" t="s">
        <v>195</v>
      </c>
      <c r="D297" s="215">
        <v>70</v>
      </c>
    </row>
    <row r="298" spans="3:6" ht="13" x14ac:dyDescent="0.15">
      <c r="C298" s="215" t="s">
        <v>208</v>
      </c>
      <c r="D298" s="215">
        <v>70</v>
      </c>
    </row>
    <row r="299" spans="3:6" ht="13" x14ac:dyDescent="0.15">
      <c r="C299" s="215" t="s">
        <v>802</v>
      </c>
      <c r="D299" s="215">
        <v>20</v>
      </c>
    </row>
    <row r="300" spans="3:6" ht="13" x14ac:dyDescent="0.15">
      <c r="C300" s="204" t="s">
        <v>825</v>
      </c>
      <c r="D300" s="214">
        <f>SUM(D297:D299)</f>
        <v>160</v>
      </c>
    </row>
    <row r="302" spans="3:6" ht="15.75" customHeight="1" x14ac:dyDescent="0.15">
      <c r="C302" s="210" t="s">
        <v>1016</v>
      </c>
      <c r="D302" s="223" t="s">
        <v>826</v>
      </c>
    </row>
    <row r="303" spans="3:6" ht="15.75" customHeight="1" x14ac:dyDescent="0.15">
      <c r="C303" t="s">
        <v>254</v>
      </c>
      <c r="D303">
        <v>40</v>
      </c>
    </row>
    <row r="304" spans="3:6" ht="15.75" customHeight="1" x14ac:dyDescent="0.15">
      <c r="C304" t="s">
        <v>286</v>
      </c>
      <c r="D304">
        <v>30</v>
      </c>
    </row>
    <row r="306" spans="3:4" ht="13" x14ac:dyDescent="0.15">
      <c r="C306" s="262" t="s">
        <v>1004</v>
      </c>
      <c r="D306" s="260" t="s">
        <v>826</v>
      </c>
    </row>
    <row r="307" spans="3:4" ht="13" x14ac:dyDescent="0.15">
      <c r="C307" s="217" t="s">
        <v>97</v>
      </c>
      <c r="D307" s="217">
        <v>320</v>
      </c>
    </row>
    <row r="308" spans="3:4" ht="13" x14ac:dyDescent="0.15">
      <c r="C308" s="218" t="s">
        <v>99</v>
      </c>
      <c r="D308" s="218">
        <v>320</v>
      </c>
    </row>
    <row r="309" spans="3:4" ht="13" x14ac:dyDescent="0.15">
      <c r="C309" s="218" t="s">
        <v>798</v>
      </c>
      <c r="D309" s="218">
        <v>140</v>
      </c>
    </row>
    <row r="310" spans="3:4" ht="13" x14ac:dyDescent="0.15">
      <c r="C310" s="218" t="s">
        <v>472</v>
      </c>
      <c r="D310" s="218">
        <v>10</v>
      </c>
    </row>
    <row r="311" spans="3:4" ht="13" x14ac:dyDescent="0.15">
      <c r="C311" s="218" t="s">
        <v>461</v>
      </c>
      <c r="D311" s="218">
        <v>10</v>
      </c>
    </row>
    <row r="312" spans="3:4" ht="13" x14ac:dyDescent="0.15">
      <c r="C312" s="224" t="s">
        <v>394</v>
      </c>
      <c r="D312" s="225">
        <v>10</v>
      </c>
    </row>
    <row r="313" spans="3:4" ht="13" x14ac:dyDescent="0.15">
      <c r="C313" s="224" t="s">
        <v>398</v>
      </c>
      <c r="D313" s="225">
        <v>10</v>
      </c>
    </row>
    <row r="314" spans="3:4" ht="13" x14ac:dyDescent="0.15">
      <c r="C314" s="213" t="s">
        <v>461</v>
      </c>
      <c r="D314" s="213">
        <v>10</v>
      </c>
    </row>
    <row r="315" spans="3:4" ht="13" x14ac:dyDescent="0.15">
      <c r="C315" s="215" t="s">
        <v>472</v>
      </c>
      <c r="D315" s="215">
        <v>10</v>
      </c>
    </row>
    <row r="316" spans="3:4" ht="13" x14ac:dyDescent="0.15">
      <c r="C316" s="204" t="s">
        <v>825</v>
      </c>
      <c r="D316" s="214">
        <f>SUM(D307:D315)</f>
        <v>840</v>
      </c>
    </row>
    <row r="318" spans="3:4" ht="13" x14ac:dyDescent="0.15">
      <c r="C318" s="262" t="s">
        <v>1005</v>
      </c>
      <c r="D318" s="260" t="s">
        <v>826</v>
      </c>
    </row>
    <row r="319" spans="3:4" ht="13" x14ac:dyDescent="0.15">
      <c r="C319" s="204" t="s">
        <v>192</v>
      </c>
      <c r="D319" s="204">
        <v>70</v>
      </c>
    </row>
    <row r="320" spans="3:4" ht="13" x14ac:dyDescent="0.15">
      <c r="C320" s="183" t="s">
        <v>678</v>
      </c>
      <c r="D320" s="183">
        <v>30</v>
      </c>
    </row>
    <row r="321" spans="3:6" ht="13" x14ac:dyDescent="0.15">
      <c r="C321" s="183" t="s">
        <v>683</v>
      </c>
      <c r="D321" s="183">
        <v>20</v>
      </c>
    </row>
    <row r="322" spans="3:6" ht="13" x14ac:dyDescent="0.15">
      <c r="C322" s="183" t="s">
        <v>335</v>
      </c>
      <c r="D322" s="183">
        <v>20</v>
      </c>
    </row>
    <row r="323" spans="3:6" ht="13" x14ac:dyDescent="0.15">
      <c r="C323" s="183" t="s">
        <v>390</v>
      </c>
      <c r="D323" s="183">
        <v>10</v>
      </c>
    </row>
    <row r="324" spans="3:6" ht="13" x14ac:dyDescent="0.15">
      <c r="C324" s="183" t="s">
        <v>679</v>
      </c>
      <c r="D324" s="183">
        <v>10</v>
      </c>
    </row>
    <row r="325" spans="3:6" ht="13" x14ac:dyDescent="0.15">
      <c r="C325" s="183" t="s">
        <v>397</v>
      </c>
      <c r="D325" s="183">
        <v>10</v>
      </c>
    </row>
    <row r="326" spans="3:6" ht="13" x14ac:dyDescent="0.15">
      <c r="C326" s="215" t="s">
        <v>484</v>
      </c>
      <c r="D326" s="215">
        <v>10</v>
      </c>
    </row>
    <row r="327" spans="3:6" ht="13" x14ac:dyDescent="0.15">
      <c r="C327" s="215" t="s">
        <v>470</v>
      </c>
      <c r="D327" s="215">
        <v>10</v>
      </c>
    </row>
    <row r="328" spans="3:6" ht="13" x14ac:dyDescent="0.15">
      <c r="C328" s="215" t="s">
        <v>680</v>
      </c>
      <c r="D328" s="215">
        <v>10</v>
      </c>
    </row>
    <row r="329" spans="3:6" ht="13" x14ac:dyDescent="0.15">
      <c r="C329" s="215" t="s">
        <v>513</v>
      </c>
      <c r="D329" s="215">
        <v>10</v>
      </c>
    </row>
    <row r="330" spans="3:6" ht="13" x14ac:dyDescent="0.15">
      <c r="C330" s="204" t="s">
        <v>825</v>
      </c>
      <c r="D330" s="219">
        <f>SUM(D319:D329)</f>
        <v>210</v>
      </c>
    </row>
    <row r="331" spans="3:6" ht="13" x14ac:dyDescent="0.15">
      <c r="C331" s="204"/>
      <c r="D331" s="219"/>
    </row>
    <row r="332" spans="3:6" ht="13" x14ac:dyDescent="0.15">
      <c r="C332" s="204"/>
      <c r="D332" s="219"/>
    </row>
    <row r="333" spans="3:6" ht="13" x14ac:dyDescent="0.15">
      <c r="C333" s="204"/>
      <c r="D333" s="219"/>
      <c r="E333" s="262" t="s">
        <v>842</v>
      </c>
      <c r="F333" s="260" t="s">
        <v>826</v>
      </c>
    </row>
    <row r="334" spans="3:6" ht="13" x14ac:dyDescent="0.15">
      <c r="C334" s="204"/>
      <c r="D334" s="219"/>
      <c r="E334" s="183" t="s">
        <v>801</v>
      </c>
      <c r="F334" s="183">
        <v>20</v>
      </c>
    </row>
    <row r="335" spans="3:6" ht="13" x14ac:dyDescent="0.15">
      <c r="C335" s="204"/>
      <c r="D335" s="219"/>
      <c r="E335" s="204" t="s">
        <v>825</v>
      </c>
      <c r="F335" s="204">
        <v>20</v>
      </c>
    </row>
    <row r="336" spans="3:6" ht="13" x14ac:dyDescent="0.15">
      <c r="E336" s="204"/>
    </row>
    <row r="337" spans="3:6" ht="13" x14ac:dyDescent="0.15">
      <c r="E337" s="262" t="s">
        <v>828</v>
      </c>
      <c r="F337" s="260" t="s">
        <v>826</v>
      </c>
    </row>
    <row r="338" spans="3:6" ht="13" x14ac:dyDescent="0.15">
      <c r="C338" s="215"/>
      <c r="D338" s="215"/>
      <c r="E338" s="183" t="s">
        <v>391</v>
      </c>
      <c r="F338" s="183">
        <v>10</v>
      </c>
    </row>
    <row r="339" spans="3:6" ht="13" x14ac:dyDescent="0.15">
      <c r="C339" s="204"/>
      <c r="E339" s="204" t="s">
        <v>825</v>
      </c>
      <c r="F339" s="204">
        <v>10</v>
      </c>
    </row>
    <row r="342" spans="3:6" ht="13" x14ac:dyDescent="0.15">
      <c r="C342" s="210" t="s">
        <v>1006</v>
      </c>
      <c r="D342" s="223" t="s">
        <v>826</v>
      </c>
    </row>
    <row r="343" spans="3:6" ht="13" x14ac:dyDescent="0.15">
      <c r="C343" s="183" t="s">
        <v>568</v>
      </c>
      <c r="D343" s="183">
        <v>100</v>
      </c>
    </row>
    <row r="344" spans="3:6" ht="13" x14ac:dyDescent="0.15">
      <c r="C344" s="183" t="s">
        <v>569</v>
      </c>
      <c r="D344" s="183">
        <v>40</v>
      </c>
    </row>
    <row r="345" spans="3:6" ht="13" x14ac:dyDescent="0.15">
      <c r="C345" s="215" t="s">
        <v>644</v>
      </c>
      <c r="D345" s="215">
        <v>40</v>
      </c>
    </row>
    <row r="346" spans="3:6" ht="13" x14ac:dyDescent="0.15">
      <c r="C346" t="s">
        <v>395</v>
      </c>
      <c r="D346">
        <v>10</v>
      </c>
    </row>
    <row r="347" spans="3:6" ht="13" x14ac:dyDescent="0.15">
      <c r="C347" t="s">
        <v>694</v>
      </c>
      <c r="D347">
        <v>10</v>
      </c>
    </row>
    <row r="348" spans="3:6" ht="13" x14ac:dyDescent="0.15">
      <c r="C348" s="263" t="s">
        <v>825</v>
      </c>
      <c r="D348" s="263">
        <f>SUM(D342:D347)</f>
        <v>200</v>
      </c>
    </row>
    <row r="349" spans="3:6" ht="13" x14ac:dyDescent="0.15"/>
    <row r="350" spans="3:6" ht="13" x14ac:dyDescent="0.15">
      <c r="C350" s="262" t="s">
        <v>1007</v>
      </c>
      <c r="D350" s="260" t="s">
        <v>826</v>
      </c>
    </row>
    <row r="351" spans="3:6" ht="13" x14ac:dyDescent="0.15">
      <c r="C351" s="204" t="s">
        <v>234</v>
      </c>
      <c r="D351" s="204">
        <v>50</v>
      </c>
    </row>
    <row r="352" spans="3:6" ht="13" x14ac:dyDescent="0.15">
      <c r="C352" s="183" t="s">
        <v>411</v>
      </c>
      <c r="D352" s="183">
        <v>10</v>
      </c>
    </row>
    <row r="353" spans="3:4" ht="13" x14ac:dyDescent="0.15">
      <c r="C353" s="215" t="s">
        <v>481</v>
      </c>
      <c r="D353" s="215">
        <v>10</v>
      </c>
    </row>
    <row r="354" spans="3:4" ht="13" x14ac:dyDescent="0.15">
      <c r="C354" s="183" t="s">
        <v>561</v>
      </c>
      <c r="D354" s="183">
        <v>10</v>
      </c>
    </row>
    <row r="355" spans="3:4" ht="13" x14ac:dyDescent="0.15">
      <c r="C355" s="183" t="s">
        <v>425</v>
      </c>
      <c r="D355" s="183">
        <v>10</v>
      </c>
    </row>
    <row r="356" spans="3:4" ht="13" x14ac:dyDescent="0.15">
      <c r="C356" s="215" t="s">
        <v>489</v>
      </c>
      <c r="D356" s="215">
        <v>10</v>
      </c>
    </row>
    <row r="357" spans="3:4" ht="13" x14ac:dyDescent="0.15">
      <c r="C357" s="215" t="s">
        <v>563</v>
      </c>
      <c r="D357" s="215">
        <v>10</v>
      </c>
    </row>
    <row r="358" spans="3:4" ht="13" x14ac:dyDescent="0.15">
      <c r="C358" s="194" t="s">
        <v>843</v>
      </c>
      <c r="D358" s="195">
        <v>10</v>
      </c>
    </row>
    <row r="359" spans="3:4" ht="13" x14ac:dyDescent="0.15">
      <c r="C359" s="204" t="s">
        <v>825</v>
      </c>
      <c r="D359" s="214">
        <f>SUM(D351:D358)</f>
        <v>120</v>
      </c>
    </row>
    <row r="361" spans="3:4" ht="13" x14ac:dyDescent="0.15">
      <c r="C361" s="262" t="s">
        <v>1008</v>
      </c>
      <c r="D361" s="260" t="s">
        <v>826</v>
      </c>
    </row>
    <row r="362" spans="3:4" ht="13" x14ac:dyDescent="0.15">
      <c r="C362" s="204" t="s">
        <v>41</v>
      </c>
      <c r="D362" s="204">
        <v>720</v>
      </c>
    </row>
    <row r="363" spans="3:4" ht="13" x14ac:dyDescent="0.15">
      <c r="C363" s="212" t="s">
        <v>758</v>
      </c>
      <c r="D363" s="215">
        <v>720</v>
      </c>
    </row>
    <row r="364" spans="3:4" ht="13" x14ac:dyDescent="0.15">
      <c r="C364" s="183" t="s">
        <v>53</v>
      </c>
      <c r="D364" s="183">
        <v>590</v>
      </c>
    </row>
    <row r="365" spans="3:4" ht="13" x14ac:dyDescent="0.15">
      <c r="C365" s="215" t="s">
        <v>87</v>
      </c>
      <c r="D365" s="215">
        <v>390</v>
      </c>
    </row>
    <row r="366" spans="3:4" ht="13" x14ac:dyDescent="0.15">
      <c r="C366" s="194" t="s">
        <v>86</v>
      </c>
      <c r="D366" s="195">
        <v>390</v>
      </c>
    </row>
    <row r="367" spans="3:4" ht="13" x14ac:dyDescent="0.15">
      <c r="C367" s="183" t="s">
        <v>109</v>
      </c>
      <c r="D367" s="183">
        <v>210</v>
      </c>
    </row>
    <row r="368" spans="3:4" ht="13" x14ac:dyDescent="0.15">
      <c r="C368" s="215" t="s">
        <v>130</v>
      </c>
      <c r="D368" s="215">
        <v>170</v>
      </c>
    </row>
    <row r="369" spans="3:6" ht="13" x14ac:dyDescent="0.15">
      <c r="C369" s="183" t="s">
        <v>176</v>
      </c>
      <c r="D369" s="183">
        <v>90</v>
      </c>
    </row>
    <row r="370" spans="3:6" ht="13" x14ac:dyDescent="0.15">
      <c r="C370" s="212" t="s">
        <v>775</v>
      </c>
      <c r="D370" s="215">
        <v>70</v>
      </c>
    </row>
    <row r="371" spans="3:6" ht="13" x14ac:dyDescent="0.15">
      <c r="C371" s="183" t="s">
        <v>292</v>
      </c>
      <c r="D371" s="183">
        <v>30</v>
      </c>
    </row>
    <row r="372" spans="3:6" ht="13" x14ac:dyDescent="0.15">
      <c r="C372" s="183" t="s">
        <v>333</v>
      </c>
      <c r="D372" s="183">
        <v>30</v>
      </c>
    </row>
    <row r="373" spans="3:6" ht="13" x14ac:dyDescent="0.15">
      <c r="C373" s="194" t="s">
        <v>540</v>
      </c>
      <c r="D373" s="195">
        <v>10</v>
      </c>
    </row>
    <row r="374" spans="3:6" ht="13" x14ac:dyDescent="0.15">
      <c r="C374" s="194" t="s">
        <v>376</v>
      </c>
      <c r="D374" s="195">
        <v>10</v>
      </c>
    </row>
    <row r="375" spans="3:6" ht="13" x14ac:dyDescent="0.15">
      <c r="C375" s="204" t="s">
        <v>825</v>
      </c>
      <c r="D375" s="219">
        <f>SUM(D362:D374)</f>
        <v>3430</v>
      </c>
    </row>
    <row r="376" spans="3:6" ht="13" x14ac:dyDescent="0.15">
      <c r="C376" s="204"/>
      <c r="D376" s="219"/>
    </row>
    <row r="378" spans="3:6" ht="13" x14ac:dyDescent="0.15">
      <c r="E378" s="262" t="s">
        <v>828</v>
      </c>
      <c r="F378" s="260" t="s">
        <v>826</v>
      </c>
    </row>
    <row r="379" spans="3:6" ht="13" x14ac:dyDescent="0.15">
      <c r="E379" s="204" t="s">
        <v>751</v>
      </c>
      <c r="F379" s="204">
        <v>110</v>
      </c>
    </row>
    <row r="380" spans="3:6" ht="13" x14ac:dyDescent="0.15">
      <c r="E380" s="183" t="s">
        <v>753</v>
      </c>
      <c r="F380" s="183">
        <v>90</v>
      </c>
    </row>
    <row r="381" spans="3:6" ht="13" x14ac:dyDescent="0.15">
      <c r="E381" s="215" t="s">
        <v>269</v>
      </c>
      <c r="F381" s="215">
        <v>40</v>
      </c>
    </row>
    <row r="382" spans="3:6" ht="13" x14ac:dyDescent="0.15">
      <c r="E382" s="212" t="s">
        <v>759</v>
      </c>
      <c r="F382" s="215">
        <v>40</v>
      </c>
    </row>
    <row r="383" spans="3:6" ht="13" x14ac:dyDescent="0.15">
      <c r="E383" s="212" t="s">
        <v>762</v>
      </c>
      <c r="F383" s="215">
        <v>40</v>
      </c>
    </row>
    <row r="384" spans="3:6" ht="13" x14ac:dyDescent="0.15">
      <c r="E384" s="183" t="s">
        <v>413</v>
      </c>
      <c r="F384" s="183">
        <v>20</v>
      </c>
    </row>
    <row r="385" spans="3:6" ht="13" x14ac:dyDescent="0.15">
      <c r="E385" s="215" t="s">
        <v>473</v>
      </c>
      <c r="F385" s="215">
        <v>10</v>
      </c>
    </row>
    <row r="386" spans="3:6" ht="13" x14ac:dyDescent="0.15">
      <c r="E386" s="212" t="s">
        <v>761</v>
      </c>
      <c r="F386" s="215">
        <v>10</v>
      </c>
    </row>
    <row r="387" spans="3:6" ht="13" x14ac:dyDescent="0.15">
      <c r="E387" s="204" t="s">
        <v>825</v>
      </c>
      <c r="F387" s="214">
        <f>SUM(F379:F386)</f>
        <v>360</v>
      </c>
    </row>
    <row r="389" spans="3:6" ht="13" x14ac:dyDescent="0.15">
      <c r="C389" s="262" t="s">
        <v>1017</v>
      </c>
      <c r="D389" s="260" t="s">
        <v>826</v>
      </c>
    </row>
    <row r="390" spans="3:6" ht="13" x14ac:dyDescent="0.15">
      <c r="C390" s="183" t="s">
        <v>582</v>
      </c>
      <c r="D390" s="183">
        <v>260</v>
      </c>
    </row>
    <row r="391" spans="3:6" ht="13" x14ac:dyDescent="0.15">
      <c r="C391" s="183" t="s">
        <v>102</v>
      </c>
      <c r="D391" s="183">
        <v>260</v>
      </c>
    </row>
    <row r="392" spans="3:6" ht="13" x14ac:dyDescent="0.15">
      <c r="C392" s="183" t="s">
        <v>287</v>
      </c>
      <c r="D392" s="183">
        <v>30</v>
      </c>
    </row>
    <row r="393" spans="3:6" ht="13" x14ac:dyDescent="0.15">
      <c r="C393" s="183" t="s">
        <v>415</v>
      </c>
      <c r="D393" s="183">
        <v>10</v>
      </c>
    </row>
    <row r="394" spans="3:6" ht="13" x14ac:dyDescent="0.15">
      <c r="C394" s="204" t="s">
        <v>825</v>
      </c>
      <c r="D394" s="214">
        <f>SUM(D390:D393)</f>
        <v>560</v>
      </c>
    </row>
    <row r="396" spans="3:6" ht="13" x14ac:dyDescent="0.15">
      <c r="C396" s="210" t="s">
        <v>1018</v>
      </c>
      <c r="D396" s="223" t="s">
        <v>826</v>
      </c>
    </row>
    <row r="397" spans="3:6" ht="13" x14ac:dyDescent="0.15">
      <c r="C397" s="214" t="s">
        <v>737</v>
      </c>
      <c r="D397" s="214">
        <v>40</v>
      </c>
    </row>
    <row r="398" spans="3:6" ht="13" x14ac:dyDescent="0.15">
      <c r="C398" s="183" t="s">
        <v>296</v>
      </c>
      <c r="D398" s="183">
        <v>30</v>
      </c>
    </row>
    <row r="399" spans="3:6" ht="13" x14ac:dyDescent="0.15">
      <c r="C399" s="193" t="s">
        <v>255</v>
      </c>
      <c r="D399" s="198">
        <v>30</v>
      </c>
    </row>
    <row r="400" spans="3:6" ht="13" x14ac:dyDescent="0.15">
      <c r="C400" s="183" t="s">
        <v>763</v>
      </c>
      <c r="D400" s="183">
        <v>10</v>
      </c>
    </row>
    <row r="401" spans="3:7" ht="13" x14ac:dyDescent="0.15">
      <c r="C401" s="212" t="s">
        <v>740</v>
      </c>
      <c r="D401" s="212">
        <v>10</v>
      </c>
    </row>
    <row r="402" spans="3:7" ht="13" x14ac:dyDescent="0.15">
      <c r="C402" s="215" t="s">
        <v>745</v>
      </c>
      <c r="D402" s="215">
        <v>10</v>
      </c>
    </row>
    <row r="403" spans="3:7" ht="13" x14ac:dyDescent="0.15">
      <c r="C403" s="204" t="s">
        <v>825</v>
      </c>
      <c r="D403" s="214">
        <f>SUM(D397:D402)</f>
        <v>130</v>
      </c>
    </row>
    <row r="405" spans="3:7" ht="13" x14ac:dyDescent="0.15">
      <c r="E405" s="210" t="s">
        <v>844</v>
      </c>
      <c r="F405" s="223" t="s">
        <v>826</v>
      </c>
      <c r="G405" s="261" t="s">
        <v>998</v>
      </c>
    </row>
    <row r="406" spans="3:7" ht="13" x14ac:dyDescent="0.15">
      <c r="E406" s="183" t="s">
        <v>738</v>
      </c>
      <c r="F406" s="183">
        <v>10</v>
      </c>
    </row>
    <row r="407" spans="3:7" ht="13" x14ac:dyDescent="0.15">
      <c r="E407" s="183" t="s">
        <v>752</v>
      </c>
      <c r="F407" s="183">
        <v>10</v>
      </c>
    </row>
    <row r="408" spans="3:7" ht="13" x14ac:dyDescent="0.15">
      <c r="E408" s="204" t="s">
        <v>825</v>
      </c>
      <c r="F408" s="214">
        <f>SUM(F406:F407)</f>
        <v>20</v>
      </c>
    </row>
    <row r="409" spans="3:7" ht="13" x14ac:dyDescent="0.15">
      <c r="E409" s="204"/>
      <c r="F409" s="214"/>
    </row>
    <row r="410" spans="3:7" ht="13" x14ac:dyDescent="0.15">
      <c r="C410" s="210" t="s">
        <v>1019</v>
      </c>
      <c r="D410" s="223" t="s">
        <v>826</v>
      </c>
    </row>
    <row r="411" spans="3:7" ht="13" x14ac:dyDescent="0.15">
      <c r="C411" s="193" t="s">
        <v>156</v>
      </c>
      <c r="D411" s="198">
        <v>90</v>
      </c>
    </row>
    <row r="412" spans="3:7" ht="13" x14ac:dyDescent="0.15">
      <c r="C412" s="204" t="s">
        <v>825</v>
      </c>
      <c r="D412" s="204">
        <v>90</v>
      </c>
    </row>
    <row r="415" spans="3:7" ht="13" x14ac:dyDescent="0.15">
      <c r="C415" s="210" t="s">
        <v>1009</v>
      </c>
      <c r="D415" s="211" t="s">
        <v>826</v>
      </c>
      <c r="E415" s="261" t="s">
        <v>998</v>
      </c>
    </row>
    <row r="416" spans="3:7" ht="13" x14ac:dyDescent="0.15">
      <c r="C416" s="183" t="s">
        <v>54</v>
      </c>
      <c r="D416" s="183">
        <v>590</v>
      </c>
    </row>
    <row r="417" spans="3:4" ht="13" x14ac:dyDescent="0.15">
      <c r="C417" s="183" t="s">
        <v>74</v>
      </c>
      <c r="D417" s="183">
        <v>390</v>
      </c>
    </row>
    <row r="418" spans="3:4" ht="13" x14ac:dyDescent="0.15">
      <c r="C418" s="183" t="s">
        <v>75</v>
      </c>
      <c r="D418" s="183">
        <v>390</v>
      </c>
    </row>
    <row r="419" spans="3:4" ht="13" x14ac:dyDescent="0.15">
      <c r="C419" s="183" t="s">
        <v>739</v>
      </c>
      <c r="D419" s="183">
        <v>320</v>
      </c>
    </row>
    <row r="420" spans="3:4" ht="13" x14ac:dyDescent="0.15">
      <c r="C420" s="183" t="s">
        <v>123</v>
      </c>
      <c r="D420" s="183">
        <v>170</v>
      </c>
    </row>
    <row r="421" spans="3:4" ht="13" x14ac:dyDescent="0.15">
      <c r="C421" s="215" t="s">
        <v>746</v>
      </c>
      <c r="D421" s="215">
        <v>110</v>
      </c>
    </row>
    <row r="422" spans="3:4" ht="13" x14ac:dyDescent="0.15">
      <c r="C422" s="215" t="s">
        <v>185</v>
      </c>
      <c r="D422" s="215">
        <v>90</v>
      </c>
    </row>
    <row r="423" spans="3:4" ht="13" x14ac:dyDescent="0.15">
      <c r="C423" s="215" t="s">
        <v>184</v>
      </c>
      <c r="D423" s="215">
        <v>90</v>
      </c>
    </row>
    <row r="424" spans="3:4" ht="13" x14ac:dyDescent="0.15">
      <c r="C424" s="183" t="s">
        <v>229</v>
      </c>
      <c r="D424" s="183">
        <v>50</v>
      </c>
    </row>
    <row r="425" spans="3:4" ht="13" x14ac:dyDescent="0.15">
      <c r="C425" s="215" t="s">
        <v>239</v>
      </c>
      <c r="D425" s="215">
        <v>50</v>
      </c>
    </row>
    <row r="426" spans="3:4" ht="13" x14ac:dyDescent="0.15">
      <c r="C426" s="215" t="s">
        <v>479</v>
      </c>
      <c r="D426" s="215">
        <v>10</v>
      </c>
    </row>
    <row r="427" spans="3:4" ht="13" x14ac:dyDescent="0.15">
      <c r="C427" s="215" t="s">
        <v>485</v>
      </c>
      <c r="D427" s="215">
        <v>10</v>
      </c>
    </row>
    <row r="428" spans="3:4" ht="13" x14ac:dyDescent="0.15">
      <c r="C428" s="194" t="s">
        <v>546</v>
      </c>
      <c r="D428" s="195">
        <v>10</v>
      </c>
    </row>
    <row r="429" spans="3:4" ht="13" x14ac:dyDescent="0.15">
      <c r="C429" s="204" t="s">
        <v>825</v>
      </c>
      <c r="D429" s="214">
        <f>SUM(D416:D428)</f>
        <v>2280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outlinePr summaryBelow="0" summaryRight="0"/>
  </sheetPr>
  <dimension ref="A1:L181"/>
  <sheetViews>
    <sheetView zoomScale="179" workbookViewId="0">
      <pane ySplit="1" topLeftCell="A2" activePane="bottomLeft" state="frozen"/>
      <selection pane="bottomLeft" activeCell="C182" sqref="C182"/>
    </sheetView>
  </sheetViews>
  <sheetFormatPr baseColWidth="10" defaultColWidth="12.6640625" defaultRowHeight="15.75" customHeight="1" x14ac:dyDescent="0.15"/>
  <cols>
    <col min="1" max="1" width="32.5" customWidth="1"/>
    <col min="2" max="2" width="9.33203125" bestFit="1" customWidth="1"/>
    <col min="3" max="3" width="30.33203125" customWidth="1"/>
    <col min="4" max="4" width="9.33203125" bestFit="1" customWidth="1"/>
    <col min="5" max="5" width="31.1640625" customWidth="1"/>
    <col min="7" max="8" width="17.83203125" customWidth="1"/>
  </cols>
  <sheetData>
    <row r="1" spans="1:12" ht="16" x14ac:dyDescent="0.2">
      <c r="A1" s="203" t="s">
        <v>818</v>
      </c>
      <c r="B1" s="203" t="s">
        <v>819</v>
      </c>
      <c r="C1" s="201" t="s">
        <v>820</v>
      </c>
      <c r="D1" s="202" t="s">
        <v>819</v>
      </c>
      <c r="E1" s="201" t="s">
        <v>821</v>
      </c>
      <c r="F1" s="201" t="s">
        <v>819</v>
      </c>
      <c r="G1" s="201" t="s">
        <v>822</v>
      </c>
      <c r="H1" s="201" t="s">
        <v>819</v>
      </c>
      <c r="I1" s="203" t="s">
        <v>823</v>
      </c>
      <c r="J1" s="201" t="s">
        <v>819</v>
      </c>
      <c r="K1" s="203" t="s">
        <v>824</v>
      </c>
      <c r="L1" s="201" t="s">
        <v>819</v>
      </c>
    </row>
    <row r="2" spans="1:12" ht="15.75" customHeight="1" x14ac:dyDescent="0.15">
      <c r="A2" s="216" t="s">
        <v>1011</v>
      </c>
      <c r="B2" s="216"/>
    </row>
    <row r="3" spans="1:12" ht="15.75" customHeight="1" x14ac:dyDescent="0.15">
      <c r="A3" s="270" t="s">
        <v>1020</v>
      </c>
      <c r="B3" s="270">
        <v>50</v>
      </c>
    </row>
    <row r="4" spans="1:12" ht="15.75" customHeight="1" x14ac:dyDescent="0.2">
      <c r="A4" s="270" t="s">
        <v>1021</v>
      </c>
      <c r="B4" s="270">
        <v>10</v>
      </c>
      <c r="C4" s="2"/>
      <c r="D4" s="2"/>
    </row>
    <row r="5" spans="1:12" ht="15" x14ac:dyDescent="0.2">
      <c r="A5" s="269" t="s">
        <v>825</v>
      </c>
      <c r="B5" s="270">
        <f>SUM(B3:B4)</f>
        <v>60</v>
      </c>
      <c r="C5" s="5"/>
      <c r="D5" s="2"/>
    </row>
    <row r="6" spans="1:12" ht="15" x14ac:dyDescent="0.2">
      <c r="A6" s="268"/>
      <c r="B6" s="268"/>
      <c r="C6" s="5"/>
      <c r="D6" s="2"/>
    </row>
    <row r="7" spans="1:12" ht="13" x14ac:dyDescent="0.15">
      <c r="A7" s="268"/>
      <c r="B7" s="268"/>
      <c r="C7" s="216" t="s">
        <v>1010</v>
      </c>
      <c r="D7" s="227"/>
    </row>
    <row r="8" spans="1:12" ht="15" x14ac:dyDescent="0.2">
      <c r="A8" s="268"/>
      <c r="B8" s="268"/>
      <c r="C8" s="5" t="s">
        <v>884</v>
      </c>
      <c r="D8" s="6">
        <v>10</v>
      </c>
    </row>
    <row r="9" spans="1:12" ht="15" x14ac:dyDescent="0.2">
      <c r="A9" s="268"/>
      <c r="B9" s="268"/>
      <c r="C9" s="4" t="s">
        <v>889</v>
      </c>
      <c r="D9" s="2">
        <v>10</v>
      </c>
    </row>
    <row r="10" spans="1:12" ht="15" x14ac:dyDescent="0.2">
      <c r="A10" s="268"/>
      <c r="B10" s="268"/>
      <c r="C10" s="4" t="s">
        <v>890</v>
      </c>
      <c r="D10" s="2">
        <v>10</v>
      </c>
    </row>
    <row r="11" spans="1:12" ht="15" x14ac:dyDescent="0.2">
      <c r="C11" s="5" t="s">
        <v>845</v>
      </c>
      <c r="D11" s="6">
        <v>170</v>
      </c>
    </row>
    <row r="12" spans="1:12" ht="15" x14ac:dyDescent="0.2">
      <c r="C12" s="4" t="s">
        <v>846</v>
      </c>
      <c r="D12" s="2">
        <v>140</v>
      </c>
    </row>
    <row r="13" spans="1:12" ht="15" x14ac:dyDescent="0.2">
      <c r="C13" s="4" t="s">
        <v>847</v>
      </c>
      <c r="D13" s="2">
        <v>70</v>
      </c>
    </row>
    <row r="14" spans="1:12" ht="15" x14ac:dyDescent="0.2">
      <c r="C14" s="4" t="s">
        <v>851</v>
      </c>
      <c r="D14" s="2">
        <v>10</v>
      </c>
    </row>
    <row r="15" spans="1:12" ht="15" x14ac:dyDescent="0.2">
      <c r="C15" s="4" t="s">
        <v>852</v>
      </c>
      <c r="D15" s="2">
        <v>10</v>
      </c>
    </row>
    <row r="16" spans="1:12" ht="15" x14ac:dyDescent="0.2">
      <c r="C16" s="4" t="s">
        <v>853</v>
      </c>
      <c r="D16" s="2">
        <v>10</v>
      </c>
    </row>
    <row r="17" spans="3:4" ht="15" x14ac:dyDescent="0.2">
      <c r="C17" s="4" t="s">
        <v>856</v>
      </c>
      <c r="D17" s="2">
        <v>10</v>
      </c>
    </row>
    <row r="18" spans="3:4" ht="15" x14ac:dyDescent="0.2">
      <c r="C18" s="4" t="s">
        <v>857</v>
      </c>
      <c r="D18" s="2">
        <v>10</v>
      </c>
    </row>
    <row r="19" spans="3:4" ht="15" x14ac:dyDescent="0.2">
      <c r="C19" s="4" t="s">
        <v>858</v>
      </c>
      <c r="D19" s="2">
        <v>10</v>
      </c>
    </row>
    <row r="20" spans="3:4" ht="15" x14ac:dyDescent="0.2">
      <c r="C20" s="4" t="s">
        <v>859</v>
      </c>
      <c r="D20" s="2">
        <v>10</v>
      </c>
    </row>
    <row r="21" spans="3:4" ht="15" x14ac:dyDescent="0.2">
      <c r="C21" s="4" t="s">
        <v>863</v>
      </c>
      <c r="D21" s="2">
        <v>10</v>
      </c>
    </row>
    <row r="22" spans="3:4" ht="15" x14ac:dyDescent="0.2">
      <c r="C22" s="4" t="s">
        <v>875</v>
      </c>
      <c r="D22" s="2">
        <v>10</v>
      </c>
    </row>
    <row r="23" spans="3:4" ht="15" x14ac:dyDescent="0.2">
      <c r="C23" s="4" t="s">
        <v>876</v>
      </c>
      <c r="D23" s="2">
        <v>10</v>
      </c>
    </row>
    <row r="24" spans="3:4" ht="15" x14ac:dyDescent="0.2">
      <c r="C24" s="4" t="s">
        <v>877</v>
      </c>
      <c r="D24" s="2">
        <v>10</v>
      </c>
    </row>
    <row r="25" spans="3:4" ht="15" x14ac:dyDescent="0.2">
      <c r="C25" s="4" t="s">
        <v>868</v>
      </c>
      <c r="D25" s="2">
        <v>10</v>
      </c>
    </row>
    <row r="26" spans="3:4" ht="15" x14ac:dyDescent="0.2">
      <c r="C26" s="4" t="s">
        <v>869</v>
      </c>
      <c r="D26" s="2">
        <v>10</v>
      </c>
    </row>
    <row r="27" spans="3:4" ht="15" x14ac:dyDescent="0.2">
      <c r="C27" s="4" t="s">
        <v>870</v>
      </c>
      <c r="D27" s="2">
        <v>10</v>
      </c>
    </row>
    <row r="28" spans="3:4" ht="15" x14ac:dyDescent="0.2">
      <c r="C28" s="4" t="s">
        <v>871</v>
      </c>
      <c r="D28" s="2">
        <v>10</v>
      </c>
    </row>
    <row r="29" spans="3:4" ht="15" x14ac:dyDescent="0.2">
      <c r="C29" s="4" t="s">
        <v>874</v>
      </c>
      <c r="D29" s="2">
        <v>10</v>
      </c>
    </row>
    <row r="30" spans="3:4" ht="15" x14ac:dyDescent="0.2">
      <c r="C30" s="4" t="s">
        <v>878</v>
      </c>
      <c r="D30" s="2">
        <v>10</v>
      </c>
    </row>
    <row r="31" spans="3:4" ht="15" x14ac:dyDescent="0.2">
      <c r="C31" s="4" t="s">
        <v>879</v>
      </c>
      <c r="D31" s="2">
        <v>10</v>
      </c>
    </row>
    <row r="32" spans="3:4" ht="15" x14ac:dyDescent="0.2">
      <c r="C32" s="4" t="s">
        <v>880</v>
      </c>
      <c r="D32" s="2">
        <v>10</v>
      </c>
    </row>
    <row r="33" spans="3:4" ht="15" x14ac:dyDescent="0.2">
      <c r="C33" s="4" t="s">
        <v>882</v>
      </c>
      <c r="D33" s="2">
        <v>10</v>
      </c>
    </row>
    <row r="34" spans="3:4" ht="15" x14ac:dyDescent="0.2">
      <c r="C34" s="4" t="s">
        <v>883</v>
      </c>
      <c r="D34" s="2">
        <v>10</v>
      </c>
    </row>
    <row r="35" spans="3:4" ht="15" x14ac:dyDescent="0.2">
      <c r="C35" s="4" t="s">
        <v>885</v>
      </c>
      <c r="D35" s="2">
        <v>10</v>
      </c>
    </row>
    <row r="36" spans="3:4" ht="15" x14ac:dyDescent="0.2">
      <c r="C36" s="4" t="s">
        <v>886</v>
      </c>
      <c r="D36" s="2">
        <v>10</v>
      </c>
    </row>
    <row r="37" spans="3:4" ht="15" x14ac:dyDescent="0.2">
      <c r="C37" s="4" t="s">
        <v>896</v>
      </c>
      <c r="D37" s="2">
        <v>10</v>
      </c>
    </row>
    <row r="38" spans="3:4" ht="15" x14ac:dyDescent="0.2">
      <c r="C38" s="4" t="s">
        <v>897</v>
      </c>
      <c r="D38" s="2">
        <v>10</v>
      </c>
    </row>
    <row r="39" spans="3:4" ht="15" x14ac:dyDescent="0.2">
      <c r="C39" s="4" t="s">
        <v>898</v>
      </c>
      <c r="D39" s="2">
        <v>10</v>
      </c>
    </row>
    <row r="40" spans="3:4" ht="15" x14ac:dyDescent="0.2">
      <c r="C40" s="4" t="s">
        <v>899</v>
      </c>
      <c r="D40" s="2">
        <v>10</v>
      </c>
    </row>
    <row r="41" spans="3:4" ht="15" x14ac:dyDescent="0.2">
      <c r="C41" s="4" t="s">
        <v>900</v>
      </c>
      <c r="D41" s="2">
        <v>10</v>
      </c>
    </row>
    <row r="42" spans="3:4" ht="15" x14ac:dyDescent="0.2">
      <c r="C42" s="4" t="s">
        <v>903</v>
      </c>
      <c r="D42" s="2">
        <v>10</v>
      </c>
    </row>
    <row r="43" spans="3:4" ht="15" x14ac:dyDescent="0.2">
      <c r="C43" s="4" t="s">
        <v>904</v>
      </c>
      <c r="D43" s="2">
        <v>10</v>
      </c>
    </row>
    <row r="44" spans="3:4" ht="15" x14ac:dyDescent="0.2">
      <c r="C44" s="4" t="s">
        <v>855</v>
      </c>
      <c r="D44" s="2">
        <v>10</v>
      </c>
    </row>
    <row r="45" spans="3:4" ht="15" x14ac:dyDescent="0.2">
      <c r="C45" s="4" t="s">
        <v>905</v>
      </c>
      <c r="D45" s="2">
        <v>10</v>
      </c>
    </row>
    <row r="46" spans="3:4" ht="15" x14ac:dyDescent="0.2">
      <c r="C46" s="4" t="s">
        <v>906</v>
      </c>
      <c r="D46" s="2">
        <v>10</v>
      </c>
    </row>
    <row r="47" spans="3:4" ht="15" x14ac:dyDescent="0.2">
      <c r="C47" s="4" t="s">
        <v>907</v>
      </c>
      <c r="D47" s="2">
        <v>10</v>
      </c>
    </row>
    <row r="48" spans="3:4" ht="15" x14ac:dyDescent="0.2">
      <c r="C48" s="4" t="s">
        <v>908</v>
      </c>
      <c r="D48" s="2">
        <v>10</v>
      </c>
    </row>
    <row r="49" spans="3:4" ht="15" x14ac:dyDescent="0.2">
      <c r="C49" s="4" t="s">
        <v>909</v>
      </c>
      <c r="D49" s="2">
        <v>10</v>
      </c>
    </row>
    <row r="50" spans="3:4" ht="15" x14ac:dyDescent="0.2">
      <c r="C50" s="4" t="s">
        <v>910</v>
      </c>
      <c r="D50" s="2">
        <v>10</v>
      </c>
    </row>
    <row r="51" spans="3:4" ht="15" x14ac:dyDescent="0.2">
      <c r="C51" s="4" t="s">
        <v>911</v>
      </c>
      <c r="D51" s="2">
        <v>10</v>
      </c>
    </row>
    <row r="52" spans="3:4" ht="15" x14ac:dyDescent="0.2">
      <c r="C52" s="4" t="s">
        <v>912</v>
      </c>
      <c r="D52" s="2">
        <v>10</v>
      </c>
    </row>
    <row r="53" spans="3:4" ht="15" x14ac:dyDescent="0.2">
      <c r="C53" s="4" t="s">
        <v>913</v>
      </c>
      <c r="D53" s="2">
        <v>10</v>
      </c>
    </row>
    <row r="54" spans="3:4" ht="15" x14ac:dyDescent="0.2">
      <c r="C54" s="4" t="s">
        <v>914</v>
      </c>
      <c r="D54" s="2">
        <v>10</v>
      </c>
    </row>
    <row r="55" spans="3:4" ht="15" x14ac:dyDescent="0.2">
      <c r="C55" s="4" t="s">
        <v>917</v>
      </c>
      <c r="D55" s="2">
        <v>10</v>
      </c>
    </row>
    <row r="56" spans="3:4" ht="15" x14ac:dyDescent="0.2">
      <c r="C56" s="4" t="s">
        <v>919</v>
      </c>
      <c r="D56" s="2">
        <v>10</v>
      </c>
    </row>
    <row r="57" spans="3:4" ht="15.75" customHeight="1" x14ac:dyDescent="0.2">
      <c r="C57" s="4" t="s">
        <v>920</v>
      </c>
      <c r="D57" s="2">
        <v>10</v>
      </c>
    </row>
    <row r="58" spans="3:4" ht="15" x14ac:dyDescent="0.2">
      <c r="C58" s="4" t="s">
        <v>921</v>
      </c>
      <c r="D58" s="2">
        <v>10</v>
      </c>
    </row>
    <row r="59" spans="3:4" ht="15" x14ac:dyDescent="0.2">
      <c r="C59" s="4" t="s">
        <v>923</v>
      </c>
      <c r="D59" s="2">
        <v>10</v>
      </c>
    </row>
    <row r="60" spans="3:4" ht="15" x14ac:dyDescent="0.2">
      <c r="C60" s="4" t="s">
        <v>929</v>
      </c>
      <c r="D60" s="2">
        <v>10</v>
      </c>
    </row>
    <row r="61" spans="3:4" ht="15" x14ac:dyDescent="0.2">
      <c r="C61" s="4" t="s">
        <v>891</v>
      </c>
      <c r="D61" s="2">
        <v>10</v>
      </c>
    </row>
    <row r="62" spans="3:4" ht="15.75" customHeight="1" x14ac:dyDescent="0.2">
      <c r="C62" s="4" t="s">
        <v>861</v>
      </c>
      <c r="D62" s="2">
        <v>10</v>
      </c>
    </row>
    <row r="63" spans="3:4" ht="15" x14ac:dyDescent="0.2">
      <c r="C63" s="4" t="s">
        <v>862</v>
      </c>
      <c r="D63" s="2">
        <v>10</v>
      </c>
    </row>
    <row r="64" spans="3:4" ht="13" x14ac:dyDescent="0.15">
      <c r="C64" t="s">
        <v>825</v>
      </c>
      <c r="D64">
        <f>SUM(D8:D63)</f>
        <v>910</v>
      </c>
    </row>
    <row r="65" spans="1:6" ht="15" x14ac:dyDescent="0.2">
      <c r="C65" s="4"/>
      <c r="D65" s="2"/>
    </row>
    <row r="66" spans="1:6" ht="13" x14ac:dyDescent="0.15">
      <c r="E66" s="216" t="s">
        <v>958</v>
      </c>
      <c r="F66" s="227"/>
    </row>
    <row r="67" spans="1:6" ht="15.75" customHeight="1" x14ac:dyDescent="0.2">
      <c r="E67" s="4" t="s">
        <v>887</v>
      </c>
      <c r="F67" s="2">
        <v>10</v>
      </c>
    </row>
    <row r="68" spans="1:6" ht="15" x14ac:dyDescent="0.2">
      <c r="E68" s="4" t="s">
        <v>888</v>
      </c>
      <c r="F68" s="2">
        <v>10</v>
      </c>
    </row>
    <row r="69" spans="1:6" ht="13" x14ac:dyDescent="0.15">
      <c r="E69" s="263" t="s">
        <v>825</v>
      </c>
      <c r="F69" s="263">
        <f>SUM(F67:F68)</f>
        <v>20</v>
      </c>
    </row>
    <row r="70" spans="1:6" ht="13" x14ac:dyDescent="0.15"/>
    <row r="71" spans="1:6" ht="15" x14ac:dyDescent="0.2">
      <c r="A71" s="1"/>
      <c r="B71" s="4"/>
      <c r="E71" s="216" t="s">
        <v>959</v>
      </c>
      <c r="F71" s="216"/>
    </row>
    <row r="72" spans="1:6" ht="15" x14ac:dyDescent="0.2">
      <c r="A72" s="1"/>
      <c r="B72" s="4"/>
      <c r="E72" s="4" t="s">
        <v>872</v>
      </c>
      <c r="F72" s="2">
        <v>10</v>
      </c>
    </row>
    <row r="73" spans="1:6" ht="15" x14ac:dyDescent="0.2">
      <c r="E73" s="4" t="s">
        <v>873</v>
      </c>
      <c r="F73" s="2">
        <v>10</v>
      </c>
    </row>
    <row r="74" spans="1:6" ht="15.75" customHeight="1" x14ac:dyDescent="0.15">
      <c r="E74" s="264" t="s">
        <v>825</v>
      </c>
      <c r="F74" s="265">
        <f>SUM(F72:F73)</f>
        <v>20</v>
      </c>
    </row>
    <row r="76" spans="1:6" ht="13" x14ac:dyDescent="0.15"/>
    <row r="77" spans="1:6" ht="13" x14ac:dyDescent="0.15">
      <c r="E77" s="216" t="s">
        <v>960</v>
      </c>
      <c r="F77" s="227"/>
    </row>
    <row r="78" spans="1:6" ht="15" x14ac:dyDescent="0.2">
      <c r="E78" s="4" t="s">
        <v>860</v>
      </c>
      <c r="F78" s="2">
        <v>10</v>
      </c>
    </row>
    <row r="79" spans="1:6" ht="15.75" customHeight="1" x14ac:dyDescent="0.2">
      <c r="E79" s="4" t="s">
        <v>881</v>
      </c>
      <c r="F79" s="2">
        <v>10</v>
      </c>
    </row>
    <row r="80" spans="1:6" ht="15.75" customHeight="1" x14ac:dyDescent="0.2">
      <c r="E80" s="4" t="s">
        <v>902</v>
      </c>
      <c r="F80" s="2">
        <v>10</v>
      </c>
    </row>
    <row r="81" spans="1:8" ht="15" x14ac:dyDescent="0.2">
      <c r="E81" s="4" t="s">
        <v>915</v>
      </c>
      <c r="F81" s="2">
        <v>10</v>
      </c>
    </row>
    <row r="82" spans="1:8" ht="13" x14ac:dyDescent="0.15">
      <c r="E82" s="264" t="s">
        <v>825</v>
      </c>
      <c r="F82" s="265">
        <f>SUM(F78:F81)</f>
        <v>40</v>
      </c>
    </row>
    <row r="83" spans="1:8" ht="13" x14ac:dyDescent="0.15"/>
    <row r="84" spans="1:8" ht="13" x14ac:dyDescent="0.15">
      <c r="G84" s="216" t="s">
        <v>961</v>
      </c>
      <c r="H84" s="227"/>
    </row>
    <row r="85" spans="1:8" ht="15" x14ac:dyDescent="0.2">
      <c r="G85" s="4" t="s">
        <v>867</v>
      </c>
      <c r="H85" s="2">
        <v>10</v>
      </c>
    </row>
    <row r="86" spans="1:8" ht="15" x14ac:dyDescent="0.2">
      <c r="G86" s="266" t="s">
        <v>825</v>
      </c>
      <c r="H86" s="267">
        <f>SUM(H85)</f>
        <v>10</v>
      </c>
    </row>
    <row r="87" spans="1:8" ht="13" x14ac:dyDescent="0.15"/>
    <row r="88" spans="1:8" ht="13" x14ac:dyDescent="0.15"/>
    <row r="89" spans="1:8" ht="13" x14ac:dyDescent="0.15">
      <c r="G89" s="216" t="s">
        <v>962</v>
      </c>
      <c r="H89" s="227"/>
    </row>
    <row r="90" spans="1:8" ht="15" x14ac:dyDescent="0.2">
      <c r="G90" s="4" t="s">
        <v>924</v>
      </c>
      <c r="H90" s="2">
        <v>10</v>
      </c>
    </row>
    <row r="91" spans="1:8" ht="15" x14ac:dyDescent="0.2">
      <c r="A91" s="1"/>
      <c r="B91" s="4"/>
      <c r="G91" s="4" t="s">
        <v>925</v>
      </c>
      <c r="H91" s="2">
        <v>10</v>
      </c>
    </row>
    <row r="92" spans="1:8" ht="15" x14ac:dyDescent="0.2">
      <c r="G92" s="266" t="s">
        <v>825</v>
      </c>
      <c r="H92" s="267">
        <f>SUM(H90:H91)</f>
        <v>20</v>
      </c>
    </row>
    <row r="93" spans="1:8" ht="15" x14ac:dyDescent="0.2">
      <c r="G93" s="4"/>
      <c r="H93" s="2"/>
    </row>
    <row r="94" spans="1:8" ht="15" x14ac:dyDescent="0.2">
      <c r="G94" s="4"/>
      <c r="H94" s="2"/>
    </row>
    <row r="95" spans="1:8" ht="15" x14ac:dyDescent="0.2">
      <c r="E95" s="216" t="s">
        <v>963</v>
      </c>
      <c r="F95" s="227"/>
      <c r="G95" s="4"/>
      <c r="H95" s="2"/>
    </row>
    <row r="96" spans="1:8" ht="15.75" customHeight="1" x14ac:dyDescent="0.2">
      <c r="E96" s="4" t="s">
        <v>931</v>
      </c>
      <c r="F96" s="2">
        <v>10</v>
      </c>
      <c r="G96" s="4"/>
      <c r="H96" s="2"/>
    </row>
    <row r="97" spans="1:8" ht="15" x14ac:dyDescent="0.2">
      <c r="A97" s="1"/>
      <c r="B97" s="4"/>
      <c r="E97" s="5" t="s">
        <v>825</v>
      </c>
      <c r="F97" s="5">
        <f>SUM(F96)</f>
        <v>10</v>
      </c>
      <c r="G97" s="4"/>
      <c r="H97" s="2"/>
    </row>
    <row r="98" spans="1:8" ht="15" x14ac:dyDescent="0.2">
      <c r="G98" s="4"/>
      <c r="H98" s="2"/>
    </row>
    <row r="99" spans="1:8" ht="13" x14ac:dyDescent="0.15">
      <c r="E99" s="216" t="s">
        <v>964</v>
      </c>
      <c r="F99" s="227"/>
    </row>
    <row r="100" spans="1:8" ht="15" x14ac:dyDescent="0.2">
      <c r="E100" s="4" t="s">
        <v>864</v>
      </c>
      <c r="F100" s="2">
        <v>10</v>
      </c>
    </row>
    <row r="101" spans="1:8" ht="15" x14ac:dyDescent="0.2">
      <c r="E101" s="4" t="s">
        <v>865</v>
      </c>
      <c r="F101" s="2">
        <v>10</v>
      </c>
    </row>
    <row r="102" spans="1:8" ht="15" x14ac:dyDescent="0.2">
      <c r="E102" s="4" t="s">
        <v>866</v>
      </c>
      <c r="F102" s="2">
        <v>10</v>
      </c>
    </row>
    <row r="103" spans="1:8" ht="13" x14ac:dyDescent="0.15">
      <c r="E103" s="263" t="s">
        <v>825</v>
      </c>
      <c r="F103" s="263">
        <f>SUM(F100:F102)</f>
        <v>30</v>
      </c>
    </row>
    <row r="105" spans="1:8" ht="13" x14ac:dyDescent="0.15">
      <c r="E105" s="216" t="s">
        <v>965</v>
      </c>
      <c r="F105" s="227"/>
    </row>
    <row r="106" spans="1:8" ht="15" x14ac:dyDescent="0.2">
      <c r="E106" s="4" t="s">
        <v>892</v>
      </c>
      <c r="F106" s="2">
        <v>10</v>
      </c>
    </row>
    <row r="107" spans="1:8" ht="15" x14ac:dyDescent="0.2">
      <c r="E107" s="4" t="s">
        <v>893</v>
      </c>
      <c r="F107" s="2">
        <v>10</v>
      </c>
    </row>
    <row r="108" spans="1:8" ht="15.75" customHeight="1" x14ac:dyDescent="0.2">
      <c r="E108" s="4" t="s">
        <v>894</v>
      </c>
      <c r="F108" s="2">
        <v>10</v>
      </c>
    </row>
    <row r="109" spans="1:8" ht="15.75" customHeight="1" x14ac:dyDescent="0.2">
      <c r="E109" s="4" t="s">
        <v>895</v>
      </c>
      <c r="F109" s="2">
        <v>10</v>
      </c>
    </row>
    <row r="110" spans="1:8" ht="15" x14ac:dyDescent="0.2">
      <c r="E110" s="4" t="s">
        <v>854</v>
      </c>
      <c r="F110" s="2">
        <v>10</v>
      </c>
    </row>
    <row r="111" spans="1:8" ht="13" x14ac:dyDescent="0.15">
      <c r="E111" s="263" t="s">
        <v>825</v>
      </c>
      <c r="F111" s="263">
        <f>SUM(F106:F110)</f>
        <v>50</v>
      </c>
    </row>
    <row r="112" spans="1:8" ht="15" x14ac:dyDescent="0.2">
      <c r="A112" s="1"/>
      <c r="B112" s="4"/>
    </row>
    <row r="113" spans="1:6" ht="15.75" customHeight="1" x14ac:dyDescent="0.15">
      <c r="E113" s="216" t="s">
        <v>966</v>
      </c>
      <c r="F113" s="227"/>
    </row>
    <row r="114" spans="1:6" ht="15.75" customHeight="1" x14ac:dyDescent="0.2">
      <c r="E114" s="4" t="s">
        <v>916</v>
      </c>
      <c r="F114" s="2">
        <v>10</v>
      </c>
    </row>
    <row r="115" spans="1:6" ht="13" x14ac:dyDescent="0.15">
      <c r="E115" s="263" t="s">
        <v>825</v>
      </c>
      <c r="F115" s="263">
        <f>SUM(F114)</f>
        <v>10</v>
      </c>
    </row>
    <row r="116" spans="1:6" ht="13" x14ac:dyDescent="0.15"/>
    <row r="117" spans="1:6" ht="13" x14ac:dyDescent="0.15"/>
    <row r="118" spans="1:6" ht="13" x14ac:dyDescent="0.15">
      <c r="E118" s="216" t="s">
        <v>967</v>
      </c>
      <c r="F118" s="227"/>
    </row>
    <row r="119" spans="1:6" ht="15" x14ac:dyDescent="0.2">
      <c r="E119" s="4" t="s">
        <v>849</v>
      </c>
      <c r="F119" s="2">
        <v>10</v>
      </c>
    </row>
    <row r="120" spans="1:6" ht="15" x14ac:dyDescent="0.2">
      <c r="E120" s="4" t="s">
        <v>850</v>
      </c>
      <c r="F120" s="2">
        <v>10</v>
      </c>
    </row>
    <row r="121" spans="1:6" ht="15" x14ac:dyDescent="0.2">
      <c r="E121" s="4" t="s">
        <v>901</v>
      </c>
      <c r="F121" s="2">
        <v>10</v>
      </c>
    </row>
    <row r="122" spans="1:6" ht="13" x14ac:dyDescent="0.15">
      <c r="E122" s="263" t="s">
        <v>825</v>
      </c>
      <c r="F122" s="263">
        <f>SUM(F119:F121)</f>
        <v>30</v>
      </c>
    </row>
    <row r="123" spans="1:6" ht="13" x14ac:dyDescent="0.15"/>
    <row r="124" spans="1:6" ht="13" x14ac:dyDescent="0.15">
      <c r="E124" s="228" t="s">
        <v>968</v>
      </c>
      <c r="F124" s="229"/>
    </row>
    <row r="125" spans="1:6" ht="15" x14ac:dyDescent="0.2">
      <c r="E125" s="4" t="s">
        <v>922</v>
      </c>
      <c r="F125" s="2">
        <v>10</v>
      </c>
    </row>
    <row r="126" spans="1:6" ht="15.75" customHeight="1" x14ac:dyDescent="0.2">
      <c r="E126" s="4" t="s">
        <v>926</v>
      </c>
      <c r="F126" s="2">
        <v>10</v>
      </c>
    </row>
    <row r="127" spans="1:6" ht="15.75" customHeight="1" x14ac:dyDescent="0.2">
      <c r="E127" s="4" t="s">
        <v>928</v>
      </c>
      <c r="F127" s="2">
        <v>10</v>
      </c>
    </row>
    <row r="128" spans="1:6" ht="15" x14ac:dyDescent="0.2">
      <c r="A128" s="1"/>
      <c r="B128" s="4"/>
      <c r="E128" s="4" t="s">
        <v>927</v>
      </c>
      <c r="F128" s="2">
        <v>10</v>
      </c>
    </row>
    <row r="129" spans="1:7" ht="13" x14ac:dyDescent="0.15">
      <c r="E129" s="263" t="s">
        <v>825</v>
      </c>
      <c r="F129" s="263">
        <f>SUM(F125:F128)</f>
        <v>40</v>
      </c>
    </row>
    <row r="130" spans="1:7" ht="15" x14ac:dyDescent="0.2">
      <c r="E130" s="4"/>
      <c r="F130" s="2"/>
    </row>
    <row r="131" spans="1:7" ht="15.75" customHeight="1" x14ac:dyDescent="0.15">
      <c r="E131" s="228" t="s">
        <v>969</v>
      </c>
      <c r="F131" s="229"/>
    </row>
    <row r="132" spans="1:7" ht="15" x14ac:dyDescent="0.2">
      <c r="E132" s="4" t="s">
        <v>918</v>
      </c>
      <c r="F132" s="2">
        <v>10</v>
      </c>
    </row>
    <row r="133" spans="1:7" ht="13" x14ac:dyDescent="0.15">
      <c r="E133" s="264" t="s">
        <v>825</v>
      </c>
      <c r="F133" s="265">
        <f>SUM(F132)</f>
        <v>10</v>
      </c>
    </row>
    <row r="134" spans="1:7" ht="15" x14ac:dyDescent="0.2">
      <c r="A134" s="1"/>
      <c r="B134" s="4"/>
    </row>
    <row r="135" spans="1:7" ht="13" x14ac:dyDescent="0.15"/>
    <row r="136" spans="1:7" ht="13" x14ac:dyDescent="0.15">
      <c r="E136" s="216" t="s">
        <v>970</v>
      </c>
      <c r="F136" s="227"/>
    </row>
    <row r="137" spans="1:7" ht="15" x14ac:dyDescent="0.2">
      <c r="A137" s="1"/>
      <c r="B137" s="4"/>
      <c r="E137" s="4" t="s">
        <v>930</v>
      </c>
      <c r="F137" s="2">
        <v>10</v>
      </c>
    </row>
    <row r="138" spans="1:7" ht="13" x14ac:dyDescent="0.15">
      <c r="E138" s="263" t="s">
        <v>825</v>
      </c>
      <c r="F138" s="263">
        <f>SUM(F137)</f>
        <v>10</v>
      </c>
    </row>
    <row r="139" spans="1:7" ht="15" x14ac:dyDescent="0.2">
      <c r="A139" s="1"/>
      <c r="B139" s="4"/>
    </row>
    <row r="140" spans="1:7" ht="13" x14ac:dyDescent="0.15">
      <c r="E140" s="216" t="s">
        <v>844</v>
      </c>
      <c r="F140" s="227"/>
      <c r="G140" s="261" t="s">
        <v>998</v>
      </c>
    </row>
    <row r="141" spans="1:7" ht="15.75" customHeight="1" x14ac:dyDescent="0.2">
      <c r="E141" s="4" t="s">
        <v>848</v>
      </c>
      <c r="F141" s="2">
        <v>30</v>
      </c>
    </row>
    <row r="142" spans="1:7" ht="15.75" customHeight="1" x14ac:dyDescent="0.15">
      <c r="E142" s="263" t="s">
        <v>825</v>
      </c>
      <c r="F142" s="263">
        <f>SUM(F141)</f>
        <v>30</v>
      </c>
    </row>
    <row r="143" spans="1:7" ht="13" x14ac:dyDescent="0.15"/>
    <row r="144" spans="1:7" ht="13" x14ac:dyDescent="0.15">
      <c r="C144" s="216" t="s">
        <v>1012</v>
      </c>
      <c r="D144" s="230"/>
    </row>
    <row r="145" spans="3:4" ht="15" x14ac:dyDescent="0.2">
      <c r="C145" s="4" t="s">
        <v>935</v>
      </c>
      <c r="D145" s="2">
        <v>10</v>
      </c>
    </row>
    <row r="146" spans="3:4" ht="15" x14ac:dyDescent="0.2">
      <c r="C146" s="4" t="s">
        <v>943</v>
      </c>
      <c r="D146" s="2">
        <v>10</v>
      </c>
    </row>
    <row r="147" spans="3:4" ht="15" x14ac:dyDescent="0.2">
      <c r="C147" s="4" t="s">
        <v>944</v>
      </c>
      <c r="D147" s="2">
        <v>10</v>
      </c>
    </row>
    <row r="148" spans="3:4" ht="15" x14ac:dyDescent="0.2">
      <c r="C148" s="4" t="s">
        <v>945</v>
      </c>
      <c r="D148" s="2">
        <v>10</v>
      </c>
    </row>
    <row r="149" spans="3:4" ht="15" x14ac:dyDescent="0.2">
      <c r="C149" s="4" t="s">
        <v>946</v>
      </c>
      <c r="D149" s="2">
        <v>10</v>
      </c>
    </row>
    <row r="150" spans="3:4" ht="15" x14ac:dyDescent="0.2">
      <c r="C150" s="4" t="s">
        <v>947</v>
      </c>
      <c r="D150" s="2">
        <v>10</v>
      </c>
    </row>
    <row r="151" spans="3:4" ht="15" x14ac:dyDescent="0.2">
      <c r="C151" s="4" t="s">
        <v>948</v>
      </c>
      <c r="D151" s="2">
        <v>10</v>
      </c>
    </row>
    <row r="152" spans="3:4" ht="15" x14ac:dyDescent="0.2">
      <c r="C152" s="4" t="s">
        <v>949</v>
      </c>
      <c r="D152" s="2">
        <v>10</v>
      </c>
    </row>
    <row r="153" spans="3:4" ht="15" x14ac:dyDescent="0.2">
      <c r="C153" s="4" t="s">
        <v>950</v>
      </c>
      <c r="D153" s="2">
        <v>10</v>
      </c>
    </row>
    <row r="154" spans="3:4" ht="15" x14ac:dyDescent="0.2">
      <c r="C154" s="4" t="s">
        <v>951</v>
      </c>
      <c r="D154" s="2">
        <v>10</v>
      </c>
    </row>
    <row r="155" spans="3:4" ht="15" x14ac:dyDescent="0.2">
      <c r="C155" s="4" t="s">
        <v>952</v>
      </c>
      <c r="D155" s="2">
        <v>10</v>
      </c>
    </row>
    <row r="156" spans="3:4" ht="15.75" customHeight="1" x14ac:dyDescent="0.2">
      <c r="C156" s="4" t="s">
        <v>953</v>
      </c>
      <c r="D156" s="2">
        <v>10</v>
      </c>
    </row>
    <row r="157" spans="3:4" ht="15" x14ac:dyDescent="0.2">
      <c r="C157" s="4" t="s">
        <v>954</v>
      </c>
      <c r="D157" s="2">
        <v>10</v>
      </c>
    </row>
    <row r="158" spans="3:4" ht="15" x14ac:dyDescent="0.2">
      <c r="C158" s="4" t="s">
        <v>955</v>
      </c>
      <c r="D158" s="2">
        <v>10</v>
      </c>
    </row>
    <row r="159" spans="3:4" ht="15" x14ac:dyDescent="0.2">
      <c r="C159" s="5" t="s">
        <v>937</v>
      </c>
      <c r="D159" s="2">
        <v>10</v>
      </c>
    </row>
    <row r="160" spans="3:4" ht="15" x14ac:dyDescent="0.2">
      <c r="C160" s="4" t="s">
        <v>938</v>
      </c>
      <c r="D160" s="2">
        <v>10</v>
      </c>
    </row>
    <row r="161" spans="3:6" ht="15.75" customHeight="1" x14ac:dyDescent="0.2">
      <c r="C161" s="4" t="s">
        <v>956</v>
      </c>
      <c r="D161" s="2">
        <v>10</v>
      </c>
    </row>
    <row r="162" spans="3:6" ht="15.75" customHeight="1" x14ac:dyDescent="0.2">
      <c r="C162" s="4" t="s">
        <v>939</v>
      </c>
      <c r="D162" s="2">
        <v>10</v>
      </c>
    </row>
    <row r="163" spans="3:6" ht="15" x14ac:dyDescent="0.2">
      <c r="C163" s="4" t="s">
        <v>957</v>
      </c>
      <c r="D163" s="2">
        <v>10</v>
      </c>
    </row>
    <row r="164" spans="3:6" ht="13" x14ac:dyDescent="0.15">
      <c r="C164" s="263" t="s">
        <v>825</v>
      </c>
      <c r="D164" s="263">
        <f>SUM(D145:D163)</f>
        <v>190</v>
      </c>
    </row>
    <row r="165" spans="3:6" ht="13" x14ac:dyDescent="0.15"/>
    <row r="166" spans="3:6" ht="13" x14ac:dyDescent="0.15"/>
    <row r="167" spans="3:6" ht="13" x14ac:dyDescent="0.15"/>
    <row r="169" spans="3:6" ht="13" x14ac:dyDescent="0.15">
      <c r="E169" s="216" t="s">
        <v>964</v>
      </c>
      <c r="F169" s="227"/>
    </row>
    <row r="170" spans="3:6" ht="15" x14ac:dyDescent="0.2">
      <c r="E170" s="4" t="s">
        <v>941</v>
      </c>
      <c r="F170" s="2">
        <v>10</v>
      </c>
    </row>
    <row r="171" spans="3:6" ht="15" x14ac:dyDescent="0.2">
      <c r="E171" s="4" t="s">
        <v>942</v>
      </c>
      <c r="F171" s="2">
        <v>10</v>
      </c>
    </row>
    <row r="172" spans="3:6" ht="15.75" customHeight="1" x14ac:dyDescent="0.15">
      <c r="E172" s="263" t="s">
        <v>825</v>
      </c>
      <c r="F172" s="263">
        <f>SUM(F170:F171)</f>
        <v>20</v>
      </c>
    </row>
    <row r="175" spans="3:6" ht="15.75" customHeight="1" x14ac:dyDescent="0.15">
      <c r="E175" s="216" t="s">
        <v>834</v>
      </c>
      <c r="F175" s="227"/>
    </row>
    <row r="176" spans="3:6" ht="15.75" customHeight="1" x14ac:dyDescent="0.2">
      <c r="E176" s="4" t="s">
        <v>932</v>
      </c>
      <c r="F176" s="2">
        <v>10</v>
      </c>
    </row>
    <row r="177" spans="5:6" ht="15.75" customHeight="1" x14ac:dyDescent="0.2">
      <c r="E177" s="4" t="s">
        <v>933</v>
      </c>
      <c r="F177" s="2">
        <v>10</v>
      </c>
    </row>
    <row r="178" spans="5:6" ht="15.75" customHeight="1" x14ac:dyDescent="0.2">
      <c r="E178" s="4" t="s">
        <v>934</v>
      </c>
      <c r="F178" s="2">
        <v>10</v>
      </c>
    </row>
    <row r="179" spans="5:6" ht="15.75" customHeight="1" x14ac:dyDescent="0.2">
      <c r="E179" s="5" t="s">
        <v>936</v>
      </c>
      <c r="F179" s="2">
        <v>10</v>
      </c>
    </row>
    <row r="180" spans="5:6" ht="15.75" customHeight="1" x14ac:dyDescent="0.2">
      <c r="E180" s="4" t="s">
        <v>940</v>
      </c>
      <c r="F180" s="2">
        <v>10</v>
      </c>
    </row>
    <row r="181" spans="5:6" ht="15.75" customHeight="1" x14ac:dyDescent="0.15">
      <c r="E181" s="263" t="s">
        <v>825</v>
      </c>
      <c r="F181" s="263">
        <f>SUM(F176:F180)</f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" customWidth="1"/>
    <col min="3" max="3" width="37" customWidth="1"/>
    <col min="5" max="5" width="46.6640625" customWidth="1"/>
    <col min="6" max="6" width="24.1640625" customWidth="1"/>
    <col min="7" max="7" width="32" customWidth="1"/>
    <col min="9" max="9" width="31.5" customWidth="1"/>
    <col min="11" max="11" width="31.5" customWidth="1"/>
  </cols>
  <sheetData>
    <row r="1" spans="1:12" ht="16" x14ac:dyDescent="0.2">
      <c r="A1" s="231" t="s">
        <v>818</v>
      </c>
      <c r="B1" s="200" t="s">
        <v>819</v>
      </c>
      <c r="C1" s="201" t="s">
        <v>820</v>
      </c>
      <c r="D1" s="202" t="s">
        <v>819</v>
      </c>
      <c r="E1" s="201" t="s">
        <v>821</v>
      </c>
      <c r="F1" s="201" t="s">
        <v>819</v>
      </c>
      <c r="G1" s="201" t="s">
        <v>822</v>
      </c>
      <c r="H1" s="201" t="s">
        <v>819</v>
      </c>
      <c r="I1" s="203" t="s">
        <v>823</v>
      </c>
      <c r="J1" s="201" t="s">
        <v>819</v>
      </c>
      <c r="K1" s="203" t="s">
        <v>824</v>
      </c>
      <c r="L1" s="201" t="s">
        <v>819</v>
      </c>
    </row>
    <row r="4" spans="1:12" ht="16" x14ac:dyDescent="0.2">
      <c r="C4" s="232" t="s">
        <v>971</v>
      </c>
      <c r="D4" s="233" t="s">
        <v>819</v>
      </c>
      <c r="E4" s="183" t="s">
        <v>972</v>
      </c>
      <c r="F4" s="183"/>
    </row>
    <row r="5" spans="1:12" ht="15" x14ac:dyDescent="0.2">
      <c r="C5" s="5" t="s">
        <v>973</v>
      </c>
      <c r="D5" s="196"/>
    </row>
    <row r="6" spans="1:12" ht="15" x14ac:dyDescent="0.2">
      <c r="C6" s="1" t="s">
        <v>17</v>
      </c>
      <c r="D6" s="196">
        <v>2900</v>
      </c>
    </row>
    <row r="7" spans="1:12" ht="15" x14ac:dyDescent="0.2">
      <c r="C7" s="1" t="s">
        <v>47</v>
      </c>
      <c r="D7" s="2">
        <v>720</v>
      </c>
    </row>
    <row r="8" spans="1:12" ht="15" x14ac:dyDescent="0.2">
      <c r="C8" s="1" t="s">
        <v>43</v>
      </c>
      <c r="D8" s="2">
        <v>720</v>
      </c>
      <c r="E8" s="183" t="s">
        <v>974</v>
      </c>
    </row>
    <row r="9" spans="1:12" ht="15" x14ac:dyDescent="0.2">
      <c r="C9" s="1" t="s">
        <v>57</v>
      </c>
      <c r="D9" s="2">
        <v>590</v>
      </c>
      <c r="E9" s="1" t="s">
        <v>127</v>
      </c>
      <c r="F9" s="2">
        <v>170</v>
      </c>
    </row>
    <row r="10" spans="1:12" ht="15" x14ac:dyDescent="0.2">
      <c r="C10" s="234" t="s">
        <v>120</v>
      </c>
      <c r="D10" s="235">
        <v>210</v>
      </c>
      <c r="E10" s="1" t="s">
        <v>114</v>
      </c>
      <c r="F10" s="2">
        <v>210</v>
      </c>
    </row>
    <row r="11" spans="1:12" ht="15" x14ac:dyDescent="0.2">
      <c r="C11" s="1" t="s">
        <v>149</v>
      </c>
      <c r="D11" s="2">
        <v>140</v>
      </c>
      <c r="E11" s="1" t="s">
        <v>181</v>
      </c>
      <c r="F11" s="2">
        <v>90</v>
      </c>
    </row>
    <row r="12" spans="1:12" ht="15" x14ac:dyDescent="0.2">
      <c r="C12" s="1" t="s">
        <v>152</v>
      </c>
      <c r="D12" s="2">
        <v>140</v>
      </c>
    </row>
    <row r="13" spans="1:12" ht="15" x14ac:dyDescent="0.2">
      <c r="C13" s="1" t="s">
        <v>175</v>
      </c>
      <c r="D13" s="2">
        <v>110</v>
      </c>
    </row>
    <row r="14" spans="1:12" ht="15" x14ac:dyDescent="0.2">
      <c r="C14" s="1" t="s">
        <v>156</v>
      </c>
      <c r="D14" s="2">
        <v>90</v>
      </c>
    </row>
    <row r="15" spans="1:12" ht="15" x14ac:dyDescent="0.2">
      <c r="C15" s="1" t="s">
        <v>178</v>
      </c>
      <c r="D15" s="2">
        <v>90</v>
      </c>
    </row>
    <row r="16" spans="1:12" ht="15" x14ac:dyDescent="0.2">
      <c r="C16" s="1" t="s">
        <v>222</v>
      </c>
      <c r="D16" s="2">
        <v>70</v>
      </c>
    </row>
    <row r="17" spans="3:8" ht="15" x14ac:dyDescent="0.2">
      <c r="C17" s="1" t="s">
        <v>250</v>
      </c>
      <c r="D17" s="2">
        <v>50</v>
      </c>
    </row>
    <row r="18" spans="3:8" ht="15" x14ac:dyDescent="0.2">
      <c r="C18" s="1" t="s">
        <v>232</v>
      </c>
      <c r="D18" s="2">
        <v>50</v>
      </c>
    </row>
    <row r="19" spans="3:8" ht="15" x14ac:dyDescent="0.2">
      <c r="C19" s="236" t="s">
        <v>283</v>
      </c>
      <c r="D19" s="237">
        <v>40</v>
      </c>
      <c r="E19" s="183" t="s">
        <v>974</v>
      </c>
    </row>
    <row r="20" spans="3:8" ht="15" x14ac:dyDescent="0.2">
      <c r="C20" s="1" t="s">
        <v>261</v>
      </c>
      <c r="D20" s="2">
        <v>40</v>
      </c>
      <c r="E20" s="1" t="s">
        <v>383</v>
      </c>
      <c r="F20" s="2">
        <v>10</v>
      </c>
    </row>
    <row r="21" spans="3:8" ht="15" x14ac:dyDescent="0.2">
      <c r="C21" s="236" t="s">
        <v>341</v>
      </c>
      <c r="D21" s="237">
        <v>20</v>
      </c>
      <c r="E21" s="1" t="s">
        <v>385</v>
      </c>
      <c r="F21" s="2">
        <v>10</v>
      </c>
    </row>
    <row r="22" spans="3:8" ht="15" x14ac:dyDescent="0.2">
      <c r="C22" s="1" t="s">
        <v>330</v>
      </c>
      <c r="D22" s="2">
        <v>20</v>
      </c>
      <c r="E22" s="1" t="s">
        <v>393</v>
      </c>
      <c r="F22" s="2">
        <v>10</v>
      </c>
      <c r="G22" s="183" t="s">
        <v>974</v>
      </c>
    </row>
    <row r="23" spans="3:8" ht="15" x14ac:dyDescent="0.2">
      <c r="C23" s="183" t="s">
        <v>345</v>
      </c>
      <c r="D23" s="183">
        <v>20</v>
      </c>
      <c r="E23" s="1" t="s">
        <v>591</v>
      </c>
      <c r="F23" s="2">
        <v>10</v>
      </c>
      <c r="G23" s="215" t="s">
        <v>441</v>
      </c>
      <c r="H23" s="215">
        <v>10</v>
      </c>
    </row>
    <row r="24" spans="3:8" ht="15" x14ac:dyDescent="0.2">
      <c r="C24" s="1" t="s">
        <v>548</v>
      </c>
      <c r="D24" s="2">
        <v>10</v>
      </c>
      <c r="E24" s="1" t="s">
        <v>350</v>
      </c>
      <c r="F24" s="2">
        <v>20</v>
      </c>
    </row>
    <row r="25" spans="3:8" ht="15" x14ac:dyDescent="0.2">
      <c r="C25" s="1" t="s">
        <v>380</v>
      </c>
      <c r="D25" s="2">
        <v>10</v>
      </c>
    </row>
    <row r="26" spans="3:8" ht="15" x14ac:dyDescent="0.2">
      <c r="C26" s="1" t="s">
        <v>381</v>
      </c>
      <c r="D26" s="2">
        <v>10</v>
      </c>
      <c r="G26" s="215" t="s">
        <v>442</v>
      </c>
      <c r="H26" s="215">
        <v>10</v>
      </c>
    </row>
    <row r="27" spans="3:8" ht="15" x14ac:dyDescent="0.2">
      <c r="C27" s="1" t="s">
        <v>404</v>
      </c>
      <c r="D27" s="2">
        <v>10</v>
      </c>
    </row>
    <row r="28" spans="3:8" ht="15" x14ac:dyDescent="0.2">
      <c r="C28" s="1" t="s">
        <v>406</v>
      </c>
      <c r="D28" s="2">
        <v>10</v>
      </c>
    </row>
    <row r="29" spans="3:8" ht="15" x14ac:dyDescent="0.2">
      <c r="C29" s="1" t="s">
        <v>414</v>
      </c>
      <c r="D29" s="2">
        <v>10</v>
      </c>
      <c r="G29" s="1" t="s">
        <v>443</v>
      </c>
      <c r="H29" s="2">
        <v>10</v>
      </c>
    </row>
    <row r="30" spans="3:8" ht="15" x14ac:dyDescent="0.2">
      <c r="C30" s="1" t="s">
        <v>415</v>
      </c>
      <c r="D30" s="2">
        <v>10</v>
      </c>
    </row>
    <row r="31" spans="3:8" ht="15" x14ac:dyDescent="0.2">
      <c r="C31" s="1" t="s">
        <v>740</v>
      </c>
      <c r="D31" s="2">
        <v>10</v>
      </c>
      <c r="E31" s="183" t="s">
        <v>975</v>
      </c>
    </row>
    <row r="32" spans="3:8" ht="15" x14ac:dyDescent="0.2">
      <c r="C32" s="1" t="s">
        <v>431</v>
      </c>
      <c r="D32" s="2">
        <v>10</v>
      </c>
    </row>
    <row r="33" spans="3:7" ht="15" x14ac:dyDescent="0.2">
      <c r="C33" s="1" t="s">
        <v>709</v>
      </c>
      <c r="D33" s="2">
        <v>10</v>
      </c>
    </row>
    <row r="34" spans="3:7" ht="15" x14ac:dyDescent="0.2">
      <c r="C34" s="1" t="s">
        <v>518</v>
      </c>
      <c r="D34" s="2">
        <v>10</v>
      </c>
    </row>
    <row r="35" spans="3:7" ht="15" x14ac:dyDescent="0.2">
      <c r="C35" s="1" t="s">
        <v>519</v>
      </c>
      <c r="D35" s="2">
        <v>10</v>
      </c>
    </row>
    <row r="36" spans="3:7" ht="15" x14ac:dyDescent="0.2">
      <c r="C36" s="1" t="s">
        <v>815</v>
      </c>
      <c r="D36" s="2">
        <v>10</v>
      </c>
    </row>
    <row r="37" spans="3:7" ht="15" x14ac:dyDescent="0.2">
      <c r="C37" s="5" t="s">
        <v>825</v>
      </c>
      <c r="D37" s="238">
        <f>SUM(D6:D36)</f>
        <v>6150</v>
      </c>
    </row>
    <row r="38" spans="3:7" ht="15" x14ac:dyDescent="0.2">
      <c r="C38" s="1"/>
      <c r="D38" s="2"/>
    </row>
    <row r="39" spans="3:7" ht="15" x14ac:dyDescent="0.2">
      <c r="C39" s="1"/>
      <c r="D39" s="2"/>
      <c r="G39" s="183" t="s">
        <v>974</v>
      </c>
    </row>
    <row r="40" spans="3:7" ht="15" x14ac:dyDescent="0.2">
      <c r="C40" s="1"/>
      <c r="D40" s="2"/>
    </row>
    <row r="41" spans="3:7" ht="15" x14ac:dyDescent="0.2">
      <c r="C41" s="1"/>
      <c r="D41" s="2"/>
      <c r="E41" s="1"/>
      <c r="F41" s="2"/>
    </row>
    <row r="43" spans="3:7" ht="15" x14ac:dyDescent="0.2">
      <c r="E43" s="1"/>
      <c r="F43" s="2"/>
    </row>
    <row r="44" spans="3:7" ht="15" x14ac:dyDescent="0.2">
      <c r="E44" s="1"/>
      <c r="F44" s="2"/>
    </row>
    <row r="49" spans="5:6" ht="15" x14ac:dyDescent="0.2">
      <c r="E49" s="1" t="s">
        <v>444</v>
      </c>
      <c r="F49" s="2">
        <v>10</v>
      </c>
    </row>
    <row r="50" spans="5:6" ht="15" x14ac:dyDescent="0.2">
      <c r="E50" s="1" t="s">
        <v>351</v>
      </c>
      <c r="F50" s="2">
        <v>20</v>
      </c>
    </row>
    <row r="51" spans="5:6" ht="15" x14ac:dyDescent="0.2">
      <c r="E51" s="1" t="s">
        <v>352</v>
      </c>
      <c r="F51" s="2">
        <v>10</v>
      </c>
    </row>
    <row r="52" spans="5:6" ht="15" x14ac:dyDescent="0.2">
      <c r="E52" s="1" t="s">
        <v>445</v>
      </c>
      <c r="F52" s="2">
        <v>10</v>
      </c>
    </row>
    <row r="53" spans="5:6" ht="15" x14ac:dyDescent="0.2">
      <c r="E53" s="1" t="s">
        <v>446</v>
      </c>
      <c r="F53" s="2">
        <v>10</v>
      </c>
    </row>
    <row r="54" spans="5:6" ht="15" x14ac:dyDescent="0.2">
      <c r="E54" s="1" t="s">
        <v>447</v>
      </c>
      <c r="F54" s="2">
        <v>10</v>
      </c>
    </row>
    <row r="55" spans="5:6" ht="15" x14ac:dyDescent="0.2">
      <c r="E55" s="1" t="s">
        <v>81</v>
      </c>
      <c r="F55" s="2">
        <v>390</v>
      </c>
    </row>
    <row r="56" spans="5:6" ht="15" x14ac:dyDescent="0.2">
      <c r="E56" s="1" t="s">
        <v>93</v>
      </c>
      <c r="F56" s="2">
        <v>320</v>
      </c>
    </row>
    <row r="57" spans="5:6" ht="15" x14ac:dyDescent="0.2">
      <c r="E57" s="1" t="s">
        <v>449</v>
      </c>
      <c r="F57" s="2">
        <v>10</v>
      </c>
    </row>
    <row r="58" spans="5:6" ht="15" x14ac:dyDescent="0.2">
      <c r="E58" s="1" t="s">
        <v>162</v>
      </c>
      <c r="F58" s="2">
        <v>110</v>
      </c>
    </row>
    <row r="59" spans="5:6" ht="15" x14ac:dyDescent="0.2">
      <c r="E59" s="1" t="s">
        <v>82</v>
      </c>
      <c r="F59" s="2">
        <v>320</v>
      </c>
    </row>
    <row r="60" spans="5:6" ht="15" x14ac:dyDescent="0.2">
      <c r="E60" s="1" t="s">
        <v>305</v>
      </c>
      <c r="F60" s="2">
        <v>30</v>
      </c>
    </row>
    <row r="61" spans="5:6" ht="15" x14ac:dyDescent="0.2">
      <c r="E61" s="1" t="s">
        <v>451</v>
      </c>
      <c r="F61" s="2">
        <v>10</v>
      </c>
    </row>
    <row r="62" spans="5:6" ht="15" x14ac:dyDescent="0.2">
      <c r="E62" s="1" t="s">
        <v>237</v>
      </c>
      <c r="F62" s="2">
        <v>50</v>
      </c>
    </row>
    <row r="63" spans="5:6" ht="15" x14ac:dyDescent="0.2">
      <c r="E63" s="1" t="s">
        <v>452</v>
      </c>
      <c r="F63" s="2">
        <v>10</v>
      </c>
    </row>
    <row r="64" spans="5:6" ht="15" x14ac:dyDescent="0.2">
      <c r="E64" s="1" t="s">
        <v>203</v>
      </c>
      <c r="F64" s="2">
        <v>70</v>
      </c>
    </row>
    <row r="65" spans="5:6" ht="15" x14ac:dyDescent="0.2">
      <c r="E65" s="1" t="s">
        <v>453</v>
      </c>
      <c r="F65" s="2">
        <v>10</v>
      </c>
    </row>
    <row r="66" spans="5:6" ht="15" x14ac:dyDescent="0.2">
      <c r="E66" s="1" t="s">
        <v>455</v>
      </c>
      <c r="F66" s="2">
        <v>10</v>
      </c>
    </row>
    <row r="67" spans="5:6" ht="15" x14ac:dyDescent="0.2">
      <c r="E67" s="1" t="s">
        <v>456</v>
      </c>
      <c r="F67" s="2">
        <v>10</v>
      </c>
    </row>
    <row r="68" spans="5:6" ht="15" x14ac:dyDescent="0.2">
      <c r="E68" s="1" t="s">
        <v>457</v>
      </c>
      <c r="F68" s="2">
        <v>10</v>
      </c>
    </row>
    <row r="69" spans="5:6" ht="15" x14ac:dyDescent="0.2">
      <c r="E69" s="1" t="s">
        <v>116</v>
      </c>
      <c r="F69" s="2">
        <v>210</v>
      </c>
    </row>
    <row r="70" spans="5:6" ht="15" x14ac:dyDescent="0.2">
      <c r="E70" s="1" t="s">
        <v>458</v>
      </c>
      <c r="F70" s="2">
        <v>10</v>
      </c>
    </row>
    <row r="71" spans="5:6" ht="15" x14ac:dyDescent="0.2">
      <c r="E71" s="1" t="s">
        <v>182</v>
      </c>
      <c r="F71" s="2">
        <v>90</v>
      </c>
    </row>
    <row r="72" spans="5:6" ht="15" x14ac:dyDescent="0.2">
      <c r="E72" s="1" t="s">
        <v>267</v>
      </c>
      <c r="F72" s="2">
        <v>40</v>
      </c>
    </row>
    <row r="73" spans="5:6" ht="15" x14ac:dyDescent="0.2">
      <c r="E73" s="1" t="s">
        <v>581</v>
      </c>
      <c r="F73" s="2">
        <v>320</v>
      </c>
    </row>
    <row r="74" spans="5:6" ht="15" x14ac:dyDescent="0.2">
      <c r="E74" s="1" t="s">
        <v>205</v>
      </c>
      <c r="F74" s="2">
        <v>70</v>
      </c>
    </row>
    <row r="75" spans="5:6" ht="15" x14ac:dyDescent="0.2">
      <c r="E75" s="1" t="s">
        <v>460</v>
      </c>
      <c r="F75" s="2">
        <v>10</v>
      </c>
    </row>
    <row r="76" spans="5:6" ht="15" x14ac:dyDescent="0.2">
      <c r="E76" s="1" t="s">
        <v>463</v>
      </c>
      <c r="F76" s="2">
        <v>10</v>
      </c>
    </row>
    <row r="77" spans="5:6" ht="15" x14ac:dyDescent="0.2">
      <c r="E77" s="1" t="s">
        <v>599</v>
      </c>
      <c r="F77" s="2">
        <v>10</v>
      </c>
    </row>
    <row r="78" spans="5:6" ht="15" x14ac:dyDescent="0.2">
      <c r="E78" s="1" t="s">
        <v>521</v>
      </c>
      <c r="F78" s="2">
        <v>10</v>
      </c>
    </row>
    <row r="79" spans="5:6" ht="15" x14ac:dyDescent="0.2">
      <c r="E79" s="1" t="s">
        <v>532</v>
      </c>
      <c r="F79" s="2">
        <v>10</v>
      </c>
    </row>
    <row r="80" spans="5:6" ht="15" x14ac:dyDescent="0.2">
      <c r="E80" s="1" t="s">
        <v>26</v>
      </c>
      <c r="F80" s="196">
        <v>1900</v>
      </c>
    </row>
    <row r="81" spans="5:6" ht="15" x14ac:dyDescent="0.2">
      <c r="E81" s="1" t="s">
        <v>588</v>
      </c>
      <c r="F81" s="2">
        <v>10</v>
      </c>
    </row>
    <row r="82" spans="5:6" ht="15" x14ac:dyDescent="0.2">
      <c r="E82" s="1" t="s">
        <v>611</v>
      </c>
      <c r="F82" s="2">
        <v>50</v>
      </c>
    </row>
    <row r="83" spans="5:6" ht="15" x14ac:dyDescent="0.2">
      <c r="E83" s="1" t="s">
        <v>562</v>
      </c>
      <c r="F83" s="2">
        <v>10</v>
      </c>
    </row>
    <row r="84" spans="5:6" ht="15" x14ac:dyDescent="0.2">
      <c r="E84" s="1" t="s">
        <v>565</v>
      </c>
      <c r="F84" s="2">
        <v>10</v>
      </c>
    </row>
    <row r="85" spans="5:6" ht="15" x14ac:dyDescent="0.2">
      <c r="E85" s="1" t="s">
        <v>570</v>
      </c>
      <c r="F85" s="2">
        <v>40</v>
      </c>
    </row>
    <row r="87" spans="5:6" ht="16" x14ac:dyDescent="0.2">
      <c r="E87" s="239" t="s">
        <v>976</v>
      </c>
    </row>
    <row r="88" spans="5:6" ht="15.75" customHeight="1" x14ac:dyDescent="0.15">
      <c r="E88" s="240" t="s">
        <v>687</v>
      </c>
      <c r="F88" s="215">
        <v>590</v>
      </c>
    </row>
    <row r="89" spans="5:6" ht="15" x14ac:dyDescent="0.2">
      <c r="E89" s="1" t="s">
        <v>60</v>
      </c>
      <c r="F89" s="2">
        <v>590</v>
      </c>
    </row>
    <row r="90" spans="5:6" ht="15" x14ac:dyDescent="0.2">
      <c r="E90" s="1" t="s">
        <v>198</v>
      </c>
      <c r="F90" s="2">
        <v>50</v>
      </c>
    </row>
    <row r="91" spans="5:6" ht="15" x14ac:dyDescent="0.2">
      <c r="E91" s="1" t="s">
        <v>494</v>
      </c>
      <c r="F91" s="2">
        <v>10</v>
      </c>
    </row>
    <row r="92" spans="5:6" ht="15.75" customHeight="1" x14ac:dyDescent="0.15">
      <c r="E92" s="241" t="s">
        <v>35</v>
      </c>
      <c r="F92" s="198">
        <v>100</v>
      </c>
    </row>
    <row r="93" spans="5:6" ht="15" x14ac:dyDescent="0.2">
      <c r="E93" s="1" t="s">
        <v>198</v>
      </c>
      <c r="F93" s="2">
        <v>50</v>
      </c>
    </row>
    <row r="94" spans="5:6" ht="15" x14ac:dyDescent="0.2">
      <c r="E94" s="1" t="s">
        <v>688</v>
      </c>
      <c r="F94" s="2">
        <v>10</v>
      </c>
    </row>
    <row r="95" spans="5:6" ht="15" x14ac:dyDescent="0.2">
      <c r="E95" s="1"/>
      <c r="F95" s="2"/>
    </row>
    <row r="97" spans="3:8" ht="15.75" customHeight="1" x14ac:dyDescent="0.15">
      <c r="E97" s="226" t="s">
        <v>977</v>
      </c>
    </row>
    <row r="98" spans="3:8" ht="15" x14ac:dyDescent="0.2">
      <c r="E98" s="234" t="s">
        <v>56</v>
      </c>
      <c r="F98" s="235">
        <v>590</v>
      </c>
    </row>
    <row r="99" spans="3:8" ht="15" x14ac:dyDescent="0.2">
      <c r="E99" s="242" t="s">
        <v>55</v>
      </c>
      <c r="F99" s="243">
        <v>590</v>
      </c>
    </row>
    <row r="100" spans="3:8" ht="15" x14ac:dyDescent="0.2">
      <c r="E100" s="234" t="s">
        <v>83</v>
      </c>
      <c r="F100" s="235">
        <v>390</v>
      </c>
    </row>
    <row r="101" spans="3:8" ht="15" x14ac:dyDescent="0.2">
      <c r="E101" s="234" t="s">
        <v>84</v>
      </c>
      <c r="F101" s="235">
        <v>390</v>
      </c>
    </row>
    <row r="102" spans="3:8" ht="15" x14ac:dyDescent="0.2">
      <c r="E102" s="242" t="s">
        <v>115</v>
      </c>
      <c r="F102" s="243">
        <v>210</v>
      </c>
    </row>
    <row r="103" spans="3:8" ht="15" x14ac:dyDescent="0.2">
      <c r="E103" s="242" t="s">
        <v>116</v>
      </c>
      <c r="F103" s="243">
        <v>210</v>
      </c>
    </row>
    <row r="104" spans="3:8" ht="15" x14ac:dyDescent="0.2">
      <c r="E104" s="1" t="s">
        <v>128</v>
      </c>
      <c r="F104" s="2">
        <v>170</v>
      </c>
    </row>
    <row r="105" spans="3:8" ht="15" x14ac:dyDescent="0.2">
      <c r="E105" s="1" t="s">
        <v>143</v>
      </c>
      <c r="F105" s="2">
        <v>140</v>
      </c>
    </row>
    <row r="106" spans="3:8" ht="15" x14ac:dyDescent="0.2">
      <c r="E106" s="1" t="s">
        <v>144</v>
      </c>
      <c r="F106" s="2">
        <v>140</v>
      </c>
    </row>
    <row r="107" spans="3:8" ht="15" x14ac:dyDescent="0.2">
      <c r="E107" s="244" t="s">
        <v>183</v>
      </c>
      <c r="F107" s="90">
        <v>90</v>
      </c>
    </row>
    <row r="108" spans="3:8" ht="15" x14ac:dyDescent="0.2">
      <c r="E108" s="244" t="s">
        <v>204</v>
      </c>
      <c r="F108" s="90">
        <v>70</v>
      </c>
    </row>
    <row r="110" spans="3:8" ht="15" x14ac:dyDescent="0.2">
      <c r="G110" s="245" t="s">
        <v>978</v>
      </c>
    </row>
    <row r="111" spans="3:8" ht="15" x14ac:dyDescent="0.2">
      <c r="G111" s="234" t="s">
        <v>81</v>
      </c>
      <c r="H111" s="235">
        <v>390</v>
      </c>
    </row>
    <row r="112" spans="3:8" ht="15" x14ac:dyDescent="0.2">
      <c r="C112" s="1"/>
      <c r="D112" s="2"/>
      <c r="G112" s="234" t="s">
        <v>93</v>
      </c>
      <c r="H112" s="235">
        <v>320</v>
      </c>
    </row>
    <row r="113" spans="3:8" ht="15" x14ac:dyDescent="0.2">
      <c r="C113" s="1"/>
      <c r="D113" s="2"/>
      <c r="E113" s="1"/>
      <c r="F113" s="2"/>
      <c r="G113" s="234" t="s">
        <v>114</v>
      </c>
      <c r="H113" s="235">
        <v>210</v>
      </c>
    </row>
    <row r="114" spans="3:8" ht="15" x14ac:dyDescent="0.2">
      <c r="C114" s="1"/>
      <c r="D114" s="2"/>
      <c r="E114" s="1"/>
      <c r="F114" s="2"/>
      <c r="G114" s="234" t="s">
        <v>127</v>
      </c>
      <c r="H114" s="235">
        <v>170</v>
      </c>
    </row>
    <row r="115" spans="3:8" ht="15" x14ac:dyDescent="0.2">
      <c r="C115" s="1"/>
      <c r="D115" s="2"/>
      <c r="E115" s="1"/>
      <c r="F115" s="2"/>
      <c r="G115" s="1" t="s">
        <v>521</v>
      </c>
      <c r="H115" s="2">
        <v>10</v>
      </c>
    </row>
    <row r="116" spans="3:8" ht="15" x14ac:dyDescent="0.2">
      <c r="C116" s="1"/>
      <c r="D116" s="2"/>
      <c r="F116" s="2"/>
    </row>
    <row r="117" spans="3:8" ht="15" x14ac:dyDescent="0.2">
      <c r="C117" s="1"/>
      <c r="D117" s="2"/>
      <c r="E117" s="1"/>
      <c r="F117" s="2"/>
    </row>
    <row r="118" spans="3:8" ht="16" x14ac:dyDescent="0.2">
      <c r="E118" s="239" t="s">
        <v>979</v>
      </c>
      <c r="F118" s="233" t="s">
        <v>819</v>
      </c>
    </row>
    <row r="119" spans="3:8" ht="15.75" customHeight="1" x14ac:dyDescent="0.15">
      <c r="E119" s="246" t="s">
        <v>54</v>
      </c>
      <c r="F119" s="195">
        <v>590</v>
      </c>
    </row>
    <row r="120" spans="3:8" ht="15.75" customHeight="1" x14ac:dyDescent="0.15">
      <c r="E120" s="193" t="s">
        <v>74</v>
      </c>
      <c r="F120" s="198">
        <v>390</v>
      </c>
    </row>
    <row r="121" spans="3:8" ht="15.75" customHeight="1" x14ac:dyDescent="0.15">
      <c r="E121" s="194" t="s">
        <v>739</v>
      </c>
      <c r="F121" s="195">
        <v>320</v>
      </c>
    </row>
    <row r="122" spans="3:8" ht="15" x14ac:dyDescent="0.2">
      <c r="E122" s="1" t="s">
        <v>123</v>
      </c>
      <c r="F122" s="2">
        <v>170</v>
      </c>
    </row>
    <row r="123" spans="3:8" ht="15" x14ac:dyDescent="0.2">
      <c r="E123" s="1" t="s">
        <v>746</v>
      </c>
      <c r="F123" s="2">
        <v>110</v>
      </c>
    </row>
    <row r="124" spans="3:8" ht="15" x14ac:dyDescent="0.2">
      <c r="E124" s="1" t="s">
        <v>184</v>
      </c>
      <c r="F124" s="2">
        <v>90</v>
      </c>
    </row>
    <row r="125" spans="3:8" ht="15.75" customHeight="1" x14ac:dyDescent="0.15">
      <c r="E125" s="193" t="s">
        <v>228</v>
      </c>
      <c r="F125" s="198">
        <v>50</v>
      </c>
    </row>
    <row r="126" spans="3:8" ht="15" x14ac:dyDescent="0.2">
      <c r="E126" s="1" t="s">
        <v>239</v>
      </c>
      <c r="F126" s="2">
        <v>50</v>
      </c>
    </row>
    <row r="127" spans="3:8" ht="15" x14ac:dyDescent="0.2">
      <c r="E127" s="1" t="s">
        <v>306</v>
      </c>
      <c r="F127" s="2">
        <v>30</v>
      </c>
      <c r="G127" s="183"/>
    </row>
    <row r="128" spans="3:8" ht="15" x14ac:dyDescent="0.2">
      <c r="E128" s="1" t="s">
        <v>217</v>
      </c>
      <c r="F128" s="2">
        <v>30</v>
      </c>
    </row>
    <row r="129" spans="3:8" ht="15.75" customHeight="1" x14ac:dyDescent="0.15">
      <c r="E129" s="194" t="s">
        <v>738</v>
      </c>
      <c r="F129" s="195">
        <v>10</v>
      </c>
    </row>
    <row r="130" spans="3:8" ht="15.75" customHeight="1" x14ac:dyDescent="0.15">
      <c r="E130" s="194" t="s">
        <v>752</v>
      </c>
      <c r="F130" s="195">
        <v>10</v>
      </c>
    </row>
    <row r="131" spans="3:8" ht="15" x14ac:dyDescent="0.2">
      <c r="E131" s="247" t="s">
        <v>462</v>
      </c>
      <c r="F131" s="248">
        <v>10</v>
      </c>
    </row>
    <row r="132" spans="3:8" ht="15" x14ac:dyDescent="0.2">
      <c r="E132" s="1" t="s">
        <v>479</v>
      </c>
      <c r="F132" s="2">
        <v>10</v>
      </c>
    </row>
    <row r="133" spans="3:8" ht="15" x14ac:dyDescent="0.2">
      <c r="E133" s="1" t="s">
        <v>485</v>
      </c>
      <c r="F133" s="2">
        <v>10</v>
      </c>
    </row>
    <row r="134" spans="3:8" ht="15" x14ac:dyDescent="0.2">
      <c r="E134" s="1" t="s">
        <v>768</v>
      </c>
      <c r="F134" s="2">
        <v>10</v>
      </c>
    </row>
    <row r="135" spans="3:8" ht="15" x14ac:dyDescent="0.2">
      <c r="E135" s="1" t="s">
        <v>546</v>
      </c>
      <c r="F135" s="2">
        <v>10</v>
      </c>
    </row>
    <row r="136" spans="3:8" ht="15" x14ac:dyDescent="0.2">
      <c r="E136" s="1" t="s">
        <v>747</v>
      </c>
      <c r="F136" s="2">
        <v>10</v>
      </c>
    </row>
    <row r="137" spans="3:8" ht="15" x14ac:dyDescent="0.2">
      <c r="E137" s="1" t="s">
        <v>748</v>
      </c>
      <c r="F137" s="2">
        <v>10</v>
      </c>
    </row>
    <row r="138" spans="3:8" ht="15" x14ac:dyDescent="0.2">
      <c r="E138" s="5" t="s">
        <v>825</v>
      </c>
      <c r="F138" s="6">
        <f>SUM(F118:F137)</f>
        <v>1920</v>
      </c>
    </row>
    <row r="139" spans="3:8" ht="15" x14ac:dyDescent="0.2">
      <c r="E139" s="5"/>
      <c r="F139" s="6"/>
      <c r="G139" s="1" t="s">
        <v>304</v>
      </c>
      <c r="H139" s="2">
        <v>30</v>
      </c>
    </row>
    <row r="140" spans="3:8" ht="15" x14ac:dyDescent="0.2">
      <c r="E140" s="1"/>
      <c r="F140" s="2"/>
      <c r="G140" s="1" t="s">
        <v>448</v>
      </c>
      <c r="H140" s="2">
        <v>10</v>
      </c>
    </row>
    <row r="141" spans="3:8" ht="15" x14ac:dyDescent="0.2">
      <c r="E141" s="1"/>
      <c r="F141" s="2"/>
      <c r="G141" s="1"/>
      <c r="H141" s="2"/>
    </row>
    <row r="142" spans="3:8" ht="15" x14ac:dyDescent="0.2">
      <c r="E142" s="1"/>
      <c r="F142" s="2"/>
      <c r="G142" s="1"/>
      <c r="H142" s="2"/>
    </row>
    <row r="143" spans="3:8" ht="15" x14ac:dyDescent="0.2">
      <c r="C143" s="1"/>
      <c r="D143" s="2"/>
      <c r="E143" s="204" t="s">
        <v>980</v>
      </c>
      <c r="F143" s="204" t="s">
        <v>981</v>
      </c>
    </row>
    <row r="144" spans="3:8" ht="16" x14ac:dyDescent="0.2">
      <c r="C144" s="1"/>
      <c r="D144" s="2"/>
      <c r="E144" s="239" t="s">
        <v>982</v>
      </c>
      <c r="F144" s="233" t="s">
        <v>819</v>
      </c>
    </row>
    <row r="145" spans="3:6" ht="15" x14ac:dyDescent="0.2">
      <c r="C145" s="1"/>
      <c r="D145" s="2"/>
      <c r="E145" s="1" t="s">
        <v>589</v>
      </c>
      <c r="F145" s="2">
        <v>10</v>
      </c>
    </row>
    <row r="146" spans="3:6" ht="15" x14ac:dyDescent="0.2">
      <c r="C146" s="1"/>
      <c r="D146" s="2"/>
      <c r="E146" s="1" t="s">
        <v>328</v>
      </c>
      <c r="F146" s="2">
        <v>20</v>
      </c>
    </row>
    <row r="147" spans="3:6" ht="15" x14ac:dyDescent="0.2">
      <c r="C147" s="1"/>
      <c r="D147" s="2"/>
      <c r="E147" s="1" t="s">
        <v>76</v>
      </c>
      <c r="F147" s="2">
        <v>390</v>
      </c>
    </row>
    <row r="148" spans="3:6" ht="15" x14ac:dyDescent="0.2">
      <c r="C148" s="1"/>
      <c r="D148" s="2"/>
      <c r="E148" s="1" t="s">
        <v>290</v>
      </c>
      <c r="F148" s="2">
        <v>30</v>
      </c>
    </row>
    <row r="149" spans="3:6" ht="15" x14ac:dyDescent="0.2">
      <c r="C149" s="1"/>
      <c r="D149" s="2"/>
      <c r="E149" s="1" t="s">
        <v>65</v>
      </c>
      <c r="F149" s="2">
        <v>480</v>
      </c>
    </row>
    <row r="150" spans="3:6" ht="15" x14ac:dyDescent="0.2">
      <c r="C150" s="1"/>
      <c r="D150" s="2"/>
      <c r="E150" s="1" t="s">
        <v>332</v>
      </c>
      <c r="F150" s="2">
        <v>20</v>
      </c>
    </row>
    <row r="151" spans="3:6" ht="15" x14ac:dyDescent="0.2">
      <c r="C151" s="1"/>
      <c r="D151" s="2"/>
      <c r="E151" s="1" t="s">
        <v>419</v>
      </c>
      <c r="F151" s="2">
        <v>10</v>
      </c>
    </row>
    <row r="152" spans="3:6" ht="15" x14ac:dyDescent="0.2">
      <c r="C152" s="1"/>
      <c r="D152" s="2"/>
      <c r="E152" s="1" t="s">
        <v>297</v>
      </c>
      <c r="F152" s="2">
        <v>30</v>
      </c>
    </row>
    <row r="153" spans="3:6" ht="15" x14ac:dyDescent="0.2">
      <c r="C153" s="1"/>
      <c r="D153" s="2"/>
      <c r="E153" s="1" t="s">
        <v>15</v>
      </c>
      <c r="F153" s="2">
        <v>6600</v>
      </c>
    </row>
    <row r="154" spans="3:6" ht="15" x14ac:dyDescent="0.2">
      <c r="C154" s="1"/>
      <c r="D154" s="2"/>
      <c r="E154" s="247" t="s">
        <v>338</v>
      </c>
      <c r="F154" s="248">
        <v>20</v>
      </c>
    </row>
    <row r="155" spans="3:6" ht="15" x14ac:dyDescent="0.2">
      <c r="C155" s="1"/>
      <c r="D155" s="2"/>
      <c r="E155" s="1" t="s">
        <v>423</v>
      </c>
      <c r="F155" s="2">
        <v>10</v>
      </c>
    </row>
    <row r="156" spans="3:6" ht="15" x14ac:dyDescent="0.2">
      <c r="C156" s="1"/>
      <c r="D156" s="2"/>
      <c r="E156" s="1" t="s">
        <v>424</v>
      </c>
      <c r="F156" s="2">
        <v>10</v>
      </c>
    </row>
    <row r="157" spans="3:6" ht="15" x14ac:dyDescent="0.2">
      <c r="C157" s="1"/>
      <c r="D157" s="2"/>
      <c r="E157" s="1" t="s">
        <v>299</v>
      </c>
      <c r="F157" s="2">
        <v>30</v>
      </c>
    </row>
    <row r="158" spans="3:6" ht="15" x14ac:dyDescent="0.2">
      <c r="C158" s="1"/>
      <c r="D158" s="2"/>
      <c r="E158" s="1" t="s">
        <v>300</v>
      </c>
      <c r="F158" s="2">
        <v>30</v>
      </c>
    </row>
    <row r="159" spans="3:6" ht="15" x14ac:dyDescent="0.2">
      <c r="C159" s="1"/>
      <c r="D159" s="2"/>
      <c r="E159" s="247" t="s">
        <v>340</v>
      </c>
      <c r="F159" s="248">
        <v>20</v>
      </c>
    </row>
    <row r="160" spans="3:6" ht="15" x14ac:dyDescent="0.2">
      <c r="C160" s="1"/>
      <c r="D160" s="2"/>
      <c r="E160" s="247" t="s">
        <v>159</v>
      </c>
      <c r="F160" s="248">
        <v>110</v>
      </c>
    </row>
    <row r="161" spans="3:6" ht="15" x14ac:dyDescent="0.2">
      <c r="C161" s="1"/>
      <c r="D161" s="2"/>
      <c r="E161" s="247" t="s">
        <v>197</v>
      </c>
      <c r="F161" s="248">
        <v>90</v>
      </c>
    </row>
    <row r="162" spans="3:6" ht="15" x14ac:dyDescent="0.2">
      <c r="C162" s="1"/>
      <c r="D162" s="2"/>
      <c r="E162" s="1" t="s">
        <v>343</v>
      </c>
      <c r="F162" s="2">
        <v>20</v>
      </c>
    </row>
    <row r="163" spans="3:6" ht="15" x14ac:dyDescent="0.2">
      <c r="C163" s="1"/>
      <c r="D163" s="2"/>
      <c r="E163" s="1" t="s">
        <v>690</v>
      </c>
      <c r="F163" s="2">
        <v>90</v>
      </c>
    </row>
    <row r="164" spans="3:6" ht="15" x14ac:dyDescent="0.2">
      <c r="C164" s="1"/>
      <c r="D164" s="2"/>
      <c r="E164" s="1" t="s">
        <v>235</v>
      </c>
      <c r="F164" s="2">
        <v>50</v>
      </c>
    </row>
    <row r="165" spans="3:6" ht="15" x14ac:dyDescent="0.2">
      <c r="C165" s="1"/>
      <c r="D165" s="2"/>
      <c r="E165" s="1" t="s">
        <v>46</v>
      </c>
      <c r="F165" s="2">
        <v>720</v>
      </c>
    </row>
    <row r="166" spans="3:6" ht="15" x14ac:dyDescent="0.2">
      <c r="C166" s="1"/>
      <c r="D166" s="2"/>
      <c r="E166" s="1" t="s">
        <v>810</v>
      </c>
      <c r="F166" s="2">
        <v>10</v>
      </c>
    </row>
    <row r="167" spans="3:6" ht="15" x14ac:dyDescent="0.2">
      <c r="C167" s="1"/>
      <c r="D167" s="2"/>
      <c r="E167" s="1" t="s">
        <v>103</v>
      </c>
      <c r="F167" s="2">
        <v>260</v>
      </c>
    </row>
    <row r="168" spans="3:6" ht="15" x14ac:dyDescent="0.2">
      <c r="C168" s="1"/>
      <c r="D168" s="2"/>
      <c r="E168" s="1" t="s">
        <v>104</v>
      </c>
      <c r="F168" s="2">
        <v>260</v>
      </c>
    </row>
    <row r="169" spans="3:6" ht="15" x14ac:dyDescent="0.2">
      <c r="C169" s="1"/>
      <c r="D169" s="2"/>
      <c r="E169" s="1" t="s">
        <v>579</v>
      </c>
      <c r="F169" s="2">
        <v>390</v>
      </c>
    </row>
    <row r="170" spans="3:6" ht="15" x14ac:dyDescent="0.2">
      <c r="C170" s="1"/>
      <c r="D170" s="2"/>
      <c r="E170" s="244" t="s">
        <v>58</v>
      </c>
      <c r="F170" s="90">
        <v>590</v>
      </c>
    </row>
    <row r="171" spans="3:6" ht="15" x14ac:dyDescent="0.2">
      <c r="C171" s="1"/>
      <c r="D171" s="2"/>
      <c r="E171" s="1" t="s">
        <v>370</v>
      </c>
      <c r="F171" s="2">
        <v>30</v>
      </c>
    </row>
    <row r="172" spans="3:6" ht="15" x14ac:dyDescent="0.2">
      <c r="C172" s="1"/>
      <c r="D172" s="2"/>
      <c r="E172" s="1" t="s">
        <v>134</v>
      </c>
      <c r="F172" s="2">
        <v>170</v>
      </c>
    </row>
    <row r="173" spans="3:6" ht="15" x14ac:dyDescent="0.2">
      <c r="C173" s="1"/>
      <c r="D173" s="2"/>
      <c r="E173" s="1" t="s">
        <v>371</v>
      </c>
      <c r="F173" s="2">
        <v>20</v>
      </c>
    </row>
    <row r="174" spans="3:6" ht="15" x14ac:dyDescent="0.2">
      <c r="C174" s="1"/>
      <c r="D174" s="2"/>
      <c r="E174" s="1" t="s">
        <v>318</v>
      </c>
      <c r="F174" s="2">
        <v>20</v>
      </c>
    </row>
    <row r="175" spans="3:6" ht="15" x14ac:dyDescent="0.2">
      <c r="C175" s="1"/>
      <c r="D175" s="2"/>
      <c r="E175" s="1" t="s">
        <v>274</v>
      </c>
      <c r="F175" s="2">
        <v>30</v>
      </c>
    </row>
    <row r="176" spans="3:6" ht="15" x14ac:dyDescent="0.2">
      <c r="C176" s="1"/>
      <c r="D176" s="2"/>
      <c r="E176" s="1" t="s">
        <v>90</v>
      </c>
      <c r="F176" s="2">
        <v>390</v>
      </c>
    </row>
    <row r="177" spans="3:8" ht="15" x14ac:dyDescent="0.2">
      <c r="C177" s="1"/>
      <c r="D177" s="2"/>
      <c r="E177" s="1" t="s">
        <v>170</v>
      </c>
      <c r="F177" s="2">
        <v>110</v>
      </c>
    </row>
    <row r="178" spans="3:8" ht="15" x14ac:dyDescent="0.2">
      <c r="C178" s="1"/>
      <c r="D178" s="2"/>
      <c r="E178" s="1" t="s">
        <v>803</v>
      </c>
      <c r="F178" s="2">
        <v>10</v>
      </c>
    </row>
    <row r="179" spans="3:8" ht="15" x14ac:dyDescent="0.2">
      <c r="C179" s="1"/>
      <c r="D179" s="2"/>
      <c r="E179" s="1" t="s">
        <v>219</v>
      </c>
      <c r="F179" s="2">
        <v>70</v>
      </c>
    </row>
    <row r="180" spans="3:8" ht="15" x14ac:dyDescent="0.2">
      <c r="C180" s="1"/>
      <c r="D180" s="2"/>
      <c r="E180" s="1" t="s">
        <v>816</v>
      </c>
      <c r="F180" s="2">
        <v>10</v>
      </c>
    </row>
    <row r="181" spans="3:8" ht="15" x14ac:dyDescent="0.2">
      <c r="C181" s="1"/>
      <c r="D181" s="2"/>
      <c r="E181" s="1" t="s">
        <v>172</v>
      </c>
      <c r="F181" s="2">
        <v>110</v>
      </c>
    </row>
    <row r="182" spans="3:8" ht="15" x14ac:dyDescent="0.2">
      <c r="C182" s="1"/>
      <c r="D182" s="2"/>
      <c r="E182" s="1" t="s">
        <v>536</v>
      </c>
      <c r="F182" s="2">
        <v>10</v>
      </c>
    </row>
    <row r="183" spans="3:8" ht="15" x14ac:dyDescent="0.2">
      <c r="C183" s="1"/>
      <c r="D183" s="2"/>
      <c r="E183" s="1" t="s">
        <v>537</v>
      </c>
      <c r="F183" s="2">
        <v>10</v>
      </c>
    </row>
    <row r="184" spans="3:8" ht="15" x14ac:dyDescent="0.2">
      <c r="C184" s="1"/>
      <c r="D184" s="2"/>
      <c r="E184" s="1" t="s">
        <v>799</v>
      </c>
      <c r="F184" s="2">
        <v>70</v>
      </c>
    </row>
    <row r="185" spans="3:8" ht="15" x14ac:dyDescent="0.2">
      <c r="C185" s="1"/>
      <c r="D185" s="2"/>
      <c r="E185" s="1" t="s">
        <v>28</v>
      </c>
      <c r="F185" s="2">
        <v>1600</v>
      </c>
    </row>
    <row r="186" spans="3:8" ht="15" x14ac:dyDescent="0.2">
      <c r="C186" s="1"/>
      <c r="D186" s="2"/>
      <c r="E186" s="1" t="s">
        <v>70</v>
      </c>
      <c r="F186" s="2">
        <v>480</v>
      </c>
      <c r="G186" s="1"/>
      <c r="H186" s="2"/>
    </row>
    <row r="187" spans="3:8" ht="15" x14ac:dyDescent="0.2">
      <c r="C187" s="1"/>
      <c r="D187" s="2"/>
      <c r="E187" s="1" t="s">
        <v>27</v>
      </c>
      <c r="F187" s="2">
        <v>1900</v>
      </c>
    </row>
    <row r="188" spans="3:8" ht="15" x14ac:dyDescent="0.2">
      <c r="C188" s="1"/>
      <c r="D188" s="2"/>
      <c r="E188" s="1" t="s">
        <v>174</v>
      </c>
      <c r="F188" s="2">
        <v>110</v>
      </c>
    </row>
    <row r="189" spans="3:8" ht="15" x14ac:dyDescent="0.2">
      <c r="C189" s="1"/>
      <c r="D189" s="2"/>
      <c r="E189" s="1" t="s">
        <v>95</v>
      </c>
      <c r="F189" s="2">
        <v>320</v>
      </c>
    </row>
    <row r="190" spans="3:8" ht="15" x14ac:dyDescent="0.2">
      <c r="C190" s="1"/>
      <c r="D190" s="2"/>
      <c r="E190" s="1" t="s">
        <v>187</v>
      </c>
      <c r="F190" s="2">
        <v>90</v>
      </c>
    </row>
    <row r="191" spans="3:8" ht="15" x14ac:dyDescent="0.2">
      <c r="C191" s="1"/>
      <c r="D191" s="2"/>
      <c r="E191" s="1" t="s">
        <v>91</v>
      </c>
      <c r="F191" s="2">
        <v>390</v>
      </c>
    </row>
    <row r="192" spans="3:8" ht="15" x14ac:dyDescent="0.2">
      <c r="C192" s="1"/>
      <c r="D192" s="2"/>
      <c r="E192" s="1" t="s">
        <v>223</v>
      </c>
      <c r="F192" s="2">
        <v>70</v>
      </c>
    </row>
    <row r="193" spans="3:8" ht="15" x14ac:dyDescent="0.2">
      <c r="C193" s="1"/>
      <c r="D193" s="2"/>
      <c r="E193" s="1" t="s">
        <v>583</v>
      </c>
      <c r="F193" s="2">
        <v>170</v>
      </c>
    </row>
    <row r="194" spans="3:8" ht="15" x14ac:dyDescent="0.2">
      <c r="C194" s="1"/>
      <c r="D194" s="2"/>
    </row>
    <row r="195" spans="3:8" ht="15" x14ac:dyDescent="0.2">
      <c r="C195" s="1"/>
      <c r="D195" s="2"/>
      <c r="G195" s="249"/>
    </row>
    <row r="196" spans="3:8" ht="15" x14ac:dyDescent="0.2">
      <c r="C196" s="1"/>
      <c r="D196" s="2"/>
      <c r="G196" s="249"/>
    </row>
    <row r="197" spans="3:8" ht="15" x14ac:dyDescent="0.2">
      <c r="C197" s="1"/>
      <c r="D197" s="2"/>
      <c r="G197" s="249" t="s">
        <v>983</v>
      </c>
    </row>
    <row r="198" spans="3:8" ht="15" x14ac:dyDescent="0.2">
      <c r="C198" s="1"/>
      <c r="D198" s="2"/>
      <c r="G198" s="1" t="s">
        <v>25</v>
      </c>
      <c r="H198" s="2">
        <v>1900</v>
      </c>
    </row>
    <row r="199" spans="3:8" ht="15" x14ac:dyDescent="0.2">
      <c r="C199" s="1"/>
      <c r="D199" s="2"/>
      <c r="G199" s="1" t="s">
        <v>35</v>
      </c>
      <c r="H199" s="2">
        <v>1000</v>
      </c>
    </row>
    <row r="200" spans="3:8" ht="15" x14ac:dyDescent="0.2">
      <c r="C200" s="1"/>
      <c r="D200" s="2"/>
      <c r="G200" s="1" t="s">
        <v>48</v>
      </c>
      <c r="H200" s="2">
        <v>720</v>
      </c>
    </row>
    <row r="201" spans="3:8" ht="15" x14ac:dyDescent="0.2">
      <c r="C201" s="1"/>
      <c r="D201" s="2"/>
      <c r="G201" s="1" t="s">
        <v>581</v>
      </c>
      <c r="H201" s="2">
        <v>320</v>
      </c>
    </row>
    <row r="202" spans="3:8" ht="15" x14ac:dyDescent="0.2">
      <c r="C202" s="1"/>
      <c r="D202" s="2"/>
      <c r="G202" s="1" t="s">
        <v>35</v>
      </c>
      <c r="H202" s="2">
        <v>100</v>
      </c>
    </row>
    <row r="203" spans="3:8" ht="15" x14ac:dyDescent="0.2">
      <c r="C203" s="1"/>
      <c r="D203" s="2"/>
      <c r="G203" s="1" t="s">
        <v>182</v>
      </c>
      <c r="H203" s="2">
        <v>90</v>
      </c>
    </row>
    <row r="204" spans="3:8" ht="15" x14ac:dyDescent="0.2">
      <c r="C204" s="1"/>
      <c r="D204" s="2"/>
      <c r="G204" s="1" t="s">
        <v>181</v>
      </c>
      <c r="H204" s="2">
        <v>90</v>
      </c>
    </row>
    <row r="205" spans="3:8" ht="15" x14ac:dyDescent="0.2">
      <c r="C205" s="1"/>
      <c r="D205" s="2"/>
      <c r="G205" s="1" t="s">
        <v>237</v>
      </c>
      <c r="H205" s="2">
        <v>50</v>
      </c>
    </row>
    <row r="206" spans="3:8" ht="15" x14ac:dyDescent="0.2">
      <c r="C206" s="1"/>
      <c r="D206" s="2"/>
      <c r="G206" s="1" t="s">
        <v>268</v>
      </c>
      <c r="H206" s="2">
        <v>40</v>
      </c>
    </row>
    <row r="207" spans="3:8" ht="15" x14ac:dyDescent="0.2">
      <c r="C207" s="1"/>
      <c r="D207" s="2"/>
      <c r="G207" s="1" t="s">
        <v>604</v>
      </c>
      <c r="H207" s="2">
        <v>40</v>
      </c>
    </row>
    <row r="208" spans="3:8" ht="15" x14ac:dyDescent="0.2">
      <c r="C208" s="1"/>
      <c r="D208" s="2"/>
      <c r="G208" s="1" t="s">
        <v>278</v>
      </c>
      <c r="H208" s="2">
        <v>40</v>
      </c>
    </row>
    <row r="209" spans="3:10" ht="15" x14ac:dyDescent="0.2">
      <c r="C209" s="1"/>
      <c r="D209" s="2"/>
      <c r="G209" s="1" t="s">
        <v>800</v>
      </c>
      <c r="H209" s="2">
        <v>30</v>
      </c>
    </row>
    <row r="210" spans="3:10" ht="15" x14ac:dyDescent="0.2">
      <c r="C210" s="1"/>
      <c r="D210" s="2"/>
      <c r="G210" s="1" t="s">
        <v>353</v>
      </c>
      <c r="H210" s="2">
        <v>20</v>
      </c>
    </row>
    <row r="211" spans="3:10" ht="15" x14ac:dyDescent="0.2">
      <c r="C211" s="1"/>
      <c r="D211" s="2"/>
      <c r="G211" s="247" t="s">
        <v>451</v>
      </c>
      <c r="H211" s="248">
        <v>10</v>
      </c>
    </row>
    <row r="212" spans="3:10" ht="15" x14ac:dyDescent="0.2">
      <c r="C212" s="1"/>
      <c r="D212" s="2"/>
      <c r="G212" s="1" t="s">
        <v>463</v>
      </c>
      <c r="H212" s="2">
        <v>10</v>
      </c>
    </row>
    <row r="213" spans="3:10" ht="15" x14ac:dyDescent="0.2">
      <c r="C213" s="1"/>
      <c r="D213" s="2"/>
      <c r="E213" s="1"/>
      <c r="F213" s="2"/>
      <c r="G213" s="1" t="s">
        <v>808</v>
      </c>
      <c r="H213" s="2">
        <v>10</v>
      </c>
    </row>
    <row r="214" spans="3:10" ht="15" x14ac:dyDescent="0.2">
      <c r="C214" s="1"/>
      <c r="D214" s="2"/>
      <c r="E214" s="1"/>
      <c r="F214" s="2"/>
      <c r="G214" s="1" t="s">
        <v>596</v>
      </c>
      <c r="H214" s="2">
        <v>10</v>
      </c>
    </row>
    <row r="215" spans="3:10" ht="15" x14ac:dyDescent="0.2">
      <c r="C215" s="1"/>
      <c r="D215" s="2"/>
      <c r="E215" s="1"/>
      <c r="F215" s="2"/>
      <c r="G215" s="1" t="s">
        <v>692</v>
      </c>
      <c r="H215" s="2">
        <v>10</v>
      </c>
    </row>
    <row r="216" spans="3:10" ht="15" x14ac:dyDescent="0.2">
      <c r="C216" s="1"/>
      <c r="D216" s="2"/>
      <c r="E216" s="1"/>
      <c r="F216" s="2"/>
      <c r="G216" s="1" t="s">
        <v>601</v>
      </c>
      <c r="H216" s="2">
        <v>10</v>
      </c>
    </row>
    <row r="217" spans="3:10" ht="15" x14ac:dyDescent="0.2">
      <c r="C217" s="1"/>
      <c r="D217" s="2"/>
      <c r="G217" s="1" t="s">
        <v>532</v>
      </c>
      <c r="H217" s="2">
        <v>10</v>
      </c>
    </row>
    <row r="218" spans="3:10" ht="15" x14ac:dyDescent="0.2">
      <c r="C218" s="1"/>
      <c r="D218" s="2"/>
      <c r="G218" s="249"/>
    </row>
    <row r="219" spans="3:10" ht="15" x14ac:dyDescent="0.2">
      <c r="C219" s="1"/>
      <c r="D219" s="2"/>
      <c r="G219" s="249"/>
      <c r="I219" s="183" t="s">
        <v>984</v>
      </c>
    </row>
    <row r="220" spans="3:10" ht="15" x14ac:dyDescent="0.2">
      <c r="C220" s="1"/>
      <c r="D220" s="2"/>
      <c r="G220" s="249"/>
      <c r="I220" s="183" t="s">
        <v>68</v>
      </c>
      <c r="J220" s="183">
        <v>480</v>
      </c>
    </row>
    <row r="221" spans="3:10" ht="15" x14ac:dyDescent="0.2">
      <c r="C221" s="1"/>
      <c r="D221" s="2"/>
      <c r="G221" s="249"/>
      <c r="I221" s="183" t="s">
        <v>354</v>
      </c>
      <c r="J221" s="183">
        <v>20</v>
      </c>
    </row>
    <row r="222" spans="3:10" ht="15" x14ac:dyDescent="0.2">
      <c r="C222" s="1"/>
      <c r="D222" s="2"/>
      <c r="G222" s="249"/>
      <c r="I222" s="183" t="s">
        <v>215</v>
      </c>
      <c r="J222" s="183">
        <v>70</v>
      </c>
    </row>
    <row r="223" spans="3:10" ht="15" x14ac:dyDescent="0.2">
      <c r="C223" s="1"/>
      <c r="D223" s="2"/>
      <c r="G223" s="249"/>
      <c r="I223" s="183" t="s">
        <v>502</v>
      </c>
      <c r="J223" s="183">
        <v>10</v>
      </c>
    </row>
    <row r="224" spans="3:10" ht="15" x14ac:dyDescent="0.2">
      <c r="C224" s="1"/>
      <c r="D224" s="2"/>
      <c r="G224" s="249"/>
      <c r="I224" s="183" t="s">
        <v>731</v>
      </c>
      <c r="J224" s="183">
        <v>70</v>
      </c>
    </row>
    <row r="225" spans="3:10" ht="15" x14ac:dyDescent="0.2">
      <c r="C225" s="1"/>
      <c r="D225" s="2"/>
      <c r="G225" s="249"/>
      <c r="I225" s="183"/>
      <c r="J225" s="183"/>
    </row>
    <row r="226" spans="3:10" ht="15" x14ac:dyDescent="0.2">
      <c r="C226" s="1"/>
      <c r="D226" s="2"/>
      <c r="G226" s="249"/>
      <c r="I226" s="183"/>
      <c r="J226" s="183"/>
    </row>
    <row r="227" spans="3:10" ht="16" x14ac:dyDescent="0.2">
      <c r="C227" s="1"/>
      <c r="D227" s="2"/>
      <c r="E227" s="1"/>
      <c r="F227" s="2"/>
      <c r="G227" s="232" t="s">
        <v>985</v>
      </c>
      <c r="H227" s="233" t="s">
        <v>819</v>
      </c>
    </row>
    <row r="228" spans="3:10" ht="15" x14ac:dyDescent="0.2">
      <c r="C228" s="1"/>
      <c r="D228" s="2"/>
      <c r="G228" s="1" t="s">
        <v>38</v>
      </c>
      <c r="H228" s="2">
        <v>880</v>
      </c>
    </row>
    <row r="229" spans="3:10" ht="15" x14ac:dyDescent="0.2">
      <c r="C229" s="1"/>
      <c r="D229" s="2"/>
      <c r="G229" s="1" t="s">
        <v>52</v>
      </c>
      <c r="H229" s="2">
        <v>720</v>
      </c>
    </row>
    <row r="230" spans="3:10" ht="15" x14ac:dyDescent="0.2">
      <c r="C230" s="1"/>
      <c r="D230" s="2"/>
      <c r="G230" s="1" t="s">
        <v>68</v>
      </c>
      <c r="H230" s="2">
        <v>480</v>
      </c>
    </row>
    <row r="231" spans="3:10" ht="15" x14ac:dyDescent="0.2">
      <c r="C231" s="1"/>
      <c r="D231" s="2"/>
      <c r="G231" s="1" t="s">
        <v>69</v>
      </c>
      <c r="H231" s="2">
        <v>480</v>
      </c>
    </row>
    <row r="232" spans="3:10" ht="15" x14ac:dyDescent="0.2">
      <c r="C232" s="1"/>
      <c r="D232" s="2"/>
      <c r="G232" s="1" t="s">
        <v>89</v>
      </c>
      <c r="H232" s="2">
        <v>390</v>
      </c>
    </row>
    <row r="233" spans="3:10" ht="15" x14ac:dyDescent="0.2">
      <c r="C233" s="1"/>
      <c r="D233" s="2"/>
      <c r="G233" s="250" t="s">
        <v>157</v>
      </c>
      <c r="H233" s="251">
        <v>110</v>
      </c>
    </row>
    <row r="234" spans="3:10" ht="15" x14ac:dyDescent="0.2">
      <c r="C234" s="1"/>
      <c r="D234" s="2"/>
      <c r="G234" s="1" t="s">
        <v>188</v>
      </c>
      <c r="H234" s="2">
        <v>90</v>
      </c>
    </row>
    <row r="235" spans="3:10" ht="15" x14ac:dyDescent="0.2">
      <c r="C235" s="1"/>
      <c r="D235" s="2"/>
      <c r="G235" s="1" t="s">
        <v>196</v>
      </c>
      <c r="H235" s="2">
        <v>70</v>
      </c>
    </row>
    <row r="236" spans="3:10" ht="15" x14ac:dyDescent="0.2">
      <c r="C236" s="1"/>
      <c r="D236" s="2"/>
      <c r="G236" s="1" t="s">
        <v>215</v>
      </c>
      <c r="H236" s="2">
        <v>70</v>
      </c>
    </row>
    <row r="237" spans="3:10" ht="15" x14ac:dyDescent="0.2">
      <c r="C237" s="1"/>
      <c r="D237" s="2"/>
      <c r="G237" s="1" t="s">
        <v>731</v>
      </c>
      <c r="H237" s="2">
        <v>70</v>
      </c>
    </row>
    <row r="238" spans="3:10" ht="15" x14ac:dyDescent="0.2">
      <c r="C238" s="1"/>
      <c r="D238" s="2"/>
      <c r="G238" s="1" t="s">
        <v>245</v>
      </c>
      <c r="H238" s="2">
        <v>70</v>
      </c>
    </row>
    <row r="239" spans="3:10" ht="15" x14ac:dyDescent="0.2">
      <c r="C239" s="1"/>
      <c r="D239" s="2"/>
      <c r="G239" s="1" t="s">
        <v>282</v>
      </c>
      <c r="H239" s="2">
        <v>40</v>
      </c>
    </row>
    <row r="240" spans="3:10" ht="15" x14ac:dyDescent="0.2">
      <c r="C240" s="1"/>
      <c r="D240" s="2"/>
      <c r="G240" s="1" t="s">
        <v>735</v>
      </c>
      <c r="H240" s="2">
        <v>40</v>
      </c>
    </row>
    <row r="241" spans="3:8" ht="15" x14ac:dyDescent="0.2">
      <c r="C241" s="1"/>
      <c r="D241" s="2"/>
      <c r="G241" s="1" t="s">
        <v>310</v>
      </c>
      <c r="H241" s="2">
        <v>30</v>
      </c>
    </row>
    <row r="242" spans="3:8" ht="15" x14ac:dyDescent="0.2">
      <c r="C242" s="1"/>
      <c r="D242" s="2"/>
      <c r="G242" s="250" t="s">
        <v>331</v>
      </c>
      <c r="H242" s="251">
        <v>20</v>
      </c>
    </row>
    <row r="243" spans="3:8" ht="15" x14ac:dyDescent="0.2">
      <c r="C243" s="1"/>
      <c r="D243" s="2"/>
      <c r="G243" s="1" t="s">
        <v>354</v>
      </c>
      <c r="H243" s="2">
        <v>20</v>
      </c>
    </row>
    <row r="244" spans="3:8" ht="15" x14ac:dyDescent="0.2">
      <c r="C244" s="1"/>
      <c r="D244" s="2"/>
      <c r="G244" s="1" t="s">
        <v>730</v>
      </c>
      <c r="H244" s="2">
        <v>20</v>
      </c>
    </row>
    <row r="245" spans="3:8" ht="15" x14ac:dyDescent="0.2">
      <c r="C245" s="1"/>
      <c r="D245" s="2"/>
      <c r="G245" s="1" t="s">
        <v>528</v>
      </c>
      <c r="H245" s="2">
        <v>20</v>
      </c>
    </row>
    <row r="246" spans="3:8" ht="15" x14ac:dyDescent="0.2">
      <c r="C246" s="1"/>
      <c r="D246" s="2"/>
      <c r="G246" s="1" t="s">
        <v>721</v>
      </c>
      <c r="H246" s="2">
        <v>10</v>
      </c>
    </row>
    <row r="247" spans="3:8" ht="15" x14ac:dyDescent="0.2">
      <c r="C247" s="1"/>
      <c r="D247" s="2"/>
      <c r="G247" s="194" t="s">
        <v>410</v>
      </c>
      <c r="H247" s="195">
        <v>10</v>
      </c>
    </row>
    <row r="248" spans="3:8" ht="15" x14ac:dyDescent="0.2">
      <c r="C248" s="1"/>
      <c r="D248" s="2"/>
      <c r="G248" s="1" t="s">
        <v>487</v>
      </c>
      <c r="H248" s="2">
        <v>10</v>
      </c>
    </row>
    <row r="249" spans="3:8" ht="15" x14ac:dyDescent="0.2">
      <c r="C249" s="1"/>
      <c r="D249" s="2"/>
      <c r="G249" s="1" t="s">
        <v>502</v>
      </c>
      <c r="H249" s="2">
        <v>10</v>
      </c>
    </row>
    <row r="250" spans="3:8" ht="15" x14ac:dyDescent="0.2">
      <c r="C250" s="1"/>
      <c r="D250" s="2"/>
      <c r="G250" s="1" t="s">
        <v>773</v>
      </c>
      <c r="H250" s="2">
        <v>10</v>
      </c>
    </row>
    <row r="251" spans="3:8" ht="15" x14ac:dyDescent="0.2">
      <c r="C251" s="1"/>
      <c r="D251" s="2"/>
      <c r="G251" s="1" t="s">
        <v>817</v>
      </c>
      <c r="H251" s="2">
        <v>10</v>
      </c>
    </row>
    <row r="252" spans="3:8" ht="15" x14ac:dyDescent="0.2">
      <c r="C252" s="1"/>
      <c r="D252" s="2"/>
      <c r="G252" s="1" t="s">
        <v>539</v>
      </c>
      <c r="H252" s="2">
        <v>10</v>
      </c>
    </row>
    <row r="253" spans="3:8" ht="15" x14ac:dyDescent="0.2">
      <c r="C253" s="1"/>
      <c r="D253" s="2"/>
      <c r="G253" s="1" t="s">
        <v>589</v>
      </c>
      <c r="H253" s="2">
        <v>10</v>
      </c>
    </row>
    <row r="254" spans="3:8" ht="15" x14ac:dyDescent="0.2">
      <c r="C254" s="1"/>
      <c r="D254" s="2"/>
      <c r="G254" s="5" t="s">
        <v>825</v>
      </c>
      <c r="H254" s="6">
        <f>SUM(H228:H249)</f>
        <v>3660</v>
      </c>
    </row>
    <row r="255" spans="3:8" ht="15" x14ac:dyDescent="0.2">
      <c r="C255" s="1"/>
      <c r="D255" s="2"/>
      <c r="G255" s="1"/>
      <c r="H255" s="2"/>
    </row>
    <row r="256" spans="3:8" ht="15" x14ac:dyDescent="0.2">
      <c r="C256" s="1"/>
      <c r="D256" s="2"/>
    </row>
    <row r="257" spans="3:9" ht="15" x14ac:dyDescent="0.2">
      <c r="C257" s="1"/>
      <c r="D257" s="2"/>
      <c r="G257" s="252"/>
      <c r="H257" s="253"/>
      <c r="I257" s="254"/>
    </row>
    <row r="258" spans="3:9" ht="15" x14ac:dyDescent="0.2">
      <c r="C258" s="1"/>
      <c r="D258" s="2"/>
      <c r="G258" s="244"/>
      <c r="H258" s="90"/>
    </row>
    <row r="259" spans="3:9" ht="15" x14ac:dyDescent="0.2">
      <c r="C259" s="1"/>
      <c r="D259" s="2"/>
      <c r="G259" s="1"/>
      <c r="H259" s="2"/>
    </row>
    <row r="260" spans="3:9" ht="15" x14ac:dyDescent="0.2">
      <c r="C260" s="1"/>
      <c r="D260" s="2"/>
      <c r="G260" s="1"/>
      <c r="H260" s="2"/>
    </row>
    <row r="261" spans="3:9" ht="15" x14ac:dyDescent="0.2">
      <c r="C261" s="1"/>
      <c r="D261" s="2"/>
      <c r="G261" s="1"/>
      <c r="H261" s="2"/>
    </row>
    <row r="262" spans="3:9" ht="15" x14ac:dyDescent="0.2">
      <c r="C262" s="1"/>
      <c r="D262" s="2"/>
      <c r="G262" s="1"/>
      <c r="H262" s="2"/>
    </row>
    <row r="263" spans="3:9" ht="15" x14ac:dyDescent="0.2">
      <c r="C263" s="1"/>
      <c r="D263" s="2"/>
      <c r="G263" s="1"/>
      <c r="H263" s="2"/>
    </row>
    <row r="264" spans="3:9" ht="15" x14ac:dyDescent="0.2">
      <c r="C264" s="1"/>
      <c r="D264" s="2"/>
      <c r="G264" s="1"/>
      <c r="H264" s="2"/>
    </row>
    <row r="265" spans="3:9" ht="15" x14ac:dyDescent="0.2">
      <c r="C265" s="1"/>
      <c r="D265" s="2"/>
      <c r="G265" s="1"/>
      <c r="H265" s="2"/>
    </row>
    <row r="266" spans="3:9" ht="15" x14ac:dyDescent="0.2">
      <c r="C266" s="1"/>
      <c r="D266" s="2"/>
      <c r="G266" s="1"/>
      <c r="H266" s="2"/>
    </row>
    <row r="267" spans="3:9" ht="15" x14ac:dyDescent="0.2">
      <c r="C267" s="1"/>
      <c r="D267" s="2"/>
      <c r="G267" s="1"/>
      <c r="H267" s="2"/>
    </row>
    <row r="268" spans="3:9" ht="15" x14ac:dyDescent="0.2">
      <c r="C268" s="1"/>
      <c r="D268" s="2"/>
      <c r="G268" s="1"/>
      <c r="H268" s="2"/>
    </row>
    <row r="269" spans="3:9" ht="15" x14ac:dyDescent="0.2">
      <c r="C269" s="1"/>
      <c r="D269" s="2"/>
      <c r="G269" s="1"/>
      <c r="H269" s="2"/>
    </row>
    <row r="270" spans="3:9" ht="15" x14ac:dyDescent="0.2">
      <c r="C270" s="1"/>
      <c r="D270" s="2"/>
      <c r="G270" s="1"/>
      <c r="H270" s="2"/>
    </row>
    <row r="271" spans="3:9" ht="15" x14ac:dyDescent="0.2">
      <c r="C271" s="1"/>
      <c r="D271" s="2"/>
      <c r="G271" s="1"/>
      <c r="H271" s="2"/>
    </row>
    <row r="272" spans="3:9" ht="15" x14ac:dyDescent="0.2">
      <c r="C272" s="1"/>
      <c r="D272" s="2"/>
      <c r="G272" s="1"/>
      <c r="H272" s="2"/>
    </row>
    <row r="273" spans="3:10" ht="15" x14ac:dyDescent="0.2">
      <c r="C273" s="1"/>
      <c r="D273" s="2"/>
      <c r="G273" s="5"/>
      <c r="H273" s="6"/>
    </row>
    <row r="274" spans="3:10" ht="15" x14ac:dyDescent="0.2">
      <c r="C274" s="1"/>
      <c r="D274" s="2"/>
      <c r="G274" s="1"/>
      <c r="H274" s="2"/>
    </row>
    <row r="275" spans="3:10" ht="15" x14ac:dyDescent="0.2">
      <c r="C275" s="1"/>
      <c r="D275" s="2"/>
      <c r="G275" s="1"/>
      <c r="H275" s="2"/>
      <c r="I275" s="252"/>
      <c r="J275" s="253"/>
    </row>
    <row r="276" spans="3:10" ht="15" x14ac:dyDescent="0.2">
      <c r="C276" s="1"/>
      <c r="D276" s="2"/>
      <c r="G276" s="1"/>
      <c r="H276" s="2"/>
      <c r="I276" s="213"/>
      <c r="J276" s="213"/>
    </row>
    <row r="277" spans="3:10" ht="15" x14ac:dyDescent="0.2">
      <c r="G277" s="1"/>
      <c r="H277" s="2"/>
    </row>
    <row r="278" spans="3:10" ht="15" x14ac:dyDescent="0.2">
      <c r="G278" s="1"/>
      <c r="H278" s="2"/>
      <c r="I278" s="5"/>
      <c r="J278" s="6"/>
    </row>
    <row r="279" spans="3:10" ht="15" x14ac:dyDescent="0.2">
      <c r="G279" s="1"/>
      <c r="H279" s="2"/>
    </row>
    <row r="280" spans="3:10" ht="15.75" customHeight="1" x14ac:dyDescent="0.15">
      <c r="G280" s="204"/>
      <c r="H280" s="214"/>
    </row>
    <row r="282" spans="3:10" ht="16" x14ac:dyDescent="0.2">
      <c r="G282" s="255" t="s">
        <v>986</v>
      </c>
      <c r="H282" s="233" t="s">
        <v>819</v>
      </c>
    </row>
    <row r="283" spans="3:10" ht="15" x14ac:dyDescent="0.2">
      <c r="G283" s="1"/>
      <c r="H283" s="2"/>
    </row>
    <row r="284" spans="3:10" ht="15" x14ac:dyDescent="0.2">
      <c r="G284" s="1"/>
      <c r="H284" s="2"/>
    </row>
    <row r="285" spans="3:10" ht="15" x14ac:dyDescent="0.2">
      <c r="G285" s="1"/>
      <c r="H285" s="2"/>
    </row>
    <row r="286" spans="3:10" ht="15" x14ac:dyDescent="0.2">
      <c r="G286" s="1"/>
      <c r="H286" s="2"/>
    </row>
    <row r="289" spans="7:8" ht="15" x14ac:dyDescent="0.2">
      <c r="G289" s="1"/>
      <c r="H289" s="2"/>
    </row>
    <row r="290" spans="7:8" ht="15" x14ac:dyDescent="0.2">
      <c r="G290" s="1" t="s">
        <v>223</v>
      </c>
      <c r="H290" s="2">
        <v>70</v>
      </c>
    </row>
    <row r="291" spans="7:8" ht="15" x14ac:dyDescent="0.2">
      <c r="G291" s="1" t="s">
        <v>224</v>
      </c>
      <c r="H291" s="2">
        <v>70</v>
      </c>
    </row>
    <row r="292" spans="7:8" ht="15" x14ac:dyDescent="0.2">
      <c r="G292" s="1" t="s">
        <v>225</v>
      </c>
      <c r="H292" s="2">
        <v>70</v>
      </c>
    </row>
    <row r="293" spans="7:8" ht="15" x14ac:dyDescent="0.2">
      <c r="G293" s="1" t="s">
        <v>245</v>
      </c>
      <c r="H293" s="2">
        <v>50</v>
      </c>
    </row>
    <row r="294" spans="7:8" ht="15" x14ac:dyDescent="0.2">
      <c r="G294" s="1" t="s">
        <v>268</v>
      </c>
      <c r="H294" s="2">
        <v>40</v>
      </c>
    </row>
    <row r="295" spans="7:8" ht="15" x14ac:dyDescent="0.2">
      <c r="G295" s="1" t="s">
        <v>251</v>
      </c>
      <c r="H295" s="2">
        <v>50</v>
      </c>
    </row>
    <row r="296" spans="7:8" ht="15" x14ac:dyDescent="0.2">
      <c r="G296" s="1" t="s">
        <v>252</v>
      </c>
      <c r="H296" s="2">
        <v>50</v>
      </c>
    </row>
    <row r="297" spans="7:8" ht="15" x14ac:dyDescent="0.2">
      <c r="G297" s="1" t="s">
        <v>280</v>
      </c>
      <c r="H297" s="2">
        <v>40</v>
      </c>
    </row>
    <row r="298" spans="7:8" ht="15" x14ac:dyDescent="0.2">
      <c r="G298" s="1" t="s">
        <v>320</v>
      </c>
      <c r="H298" s="2">
        <v>30</v>
      </c>
    </row>
    <row r="299" spans="7:8" ht="15" x14ac:dyDescent="0.2">
      <c r="G299" s="1" t="s">
        <v>323</v>
      </c>
      <c r="H299" s="2">
        <v>30</v>
      </c>
    </row>
    <row r="300" spans="7:8" ht="15" x14ac:dyDescent="0.2">
      <c r="G300" s="1" t="s">
        <v>541</v>
      </c>
      <c r="H300" s="2">
        <v>10</v>
      </c>
    </row>
    <row r="301" spans="7:8" ht="15" x14ac:dyDescent="0.2">
      <c r="G301" s="5" t="s">
        <v>825</v>
      </c>
      <c r="H301" s="6">
        <f>SUM(H283:H300)</f>
        <v>510</v>
      </c>
    </row>
    <row r="302" spans="7:8" ht="15" x14ac:dyDescent="0.2">
      <c r="G302" s="1"/>
      <c r="H302" s="2"/>
    </row>
    <row r="303" spans="7:8" ht="16" x14ac:dyDescent="0.2">
      <c r="G303" s="255" t="s">
        <v>987</v>
      </c>
      <c r="H303" s="233" t="s">
        <v>819</v>
      </c>
    </row>
    <row r="304" spans="7:8" ht="15" x14ac:dyDescent="0.2">
      <c r="G304" s="1" t="s">
        <v>111</v>
      </c>
      <c r="H304" s="2">
        <v>210</v>
      </c>
    </row>
    <row r="305" spans="7:10" ht="15" x14ac:dyDescent="0.2">
      <c r="G305" s="1" t="s">
        <v>220</v>
      </c>
      <c r="H305" s="2">
        <v>70</v>
      </c>
    </row>
    <row r="306" spans="7:10" ht="15" x14ac:dyDescent="0.2">
      <c r="G306" s="1" t="s">
        <v>221</v>
      </c>
      <c r="H306" s="2">
        <v>70</v>
      </c>
    </row>
    <row r="307" spans="7:10" ht="15" x14ac:dyDescent="0.2">
      <c r="G307" s="1" t="s">
        <v>265</v>
      </c>
      <c r="H307" s="2">
        <v>40</v>
      </c>
    </row>
    <row r="308" spans="7:10" ht="15" x14ac:dyDescent="0.2">
      <c r="G308" s="1" t="s">
        <v>277</v>
      </c>
      <c r="H308" s="2">
        <v>40</v>
      </c>
    </row>
    <row r="309" spans="7:10" ht="15" x14ac:dyDescent="0.2">
      <c r="G309" s="1" t="s">
        <v>314</v>
      </c>
      <c r="H309" s="2">
        <v>30</v>
      </c>
    </row>
    <row r="310" spans="7:10" ht="15" x14ac:dyDescent="0.2">
      <c r="G310" s="1" t="s">
        <v>168</v>
      </c>
      <c r="H310" s="2">
        <v>110</v>
      </c>
    </row>
    <row r="311" spans="7:10" ht="15" x14ac:dyDescent="0.2">
      <c r="G311" s="5" t="s">
        <v>825</v>
      </c>
      <c r="H311" s="6">
        <f>SUM(H304:H310)</f>
        <v>570</v>
      </c>
    </row>
    <row r="312" spans="7:10" ht="15" x14ac:dyDescent="0.2">
      <c r="G312" s="1"/>
      <c r="H312" s="2"/>
    </row>
    <row r="313" spans="7:10" ht="16" x14ac:dyDescent="0.2">
      <c r="G313" s="1"/>
      <c r="H313" s="2"/>
      <c r="I313" s="255" t="s">
        <v>988</v>
      </c>
      <c r="J313" s="233" t="s">
        <v>819</v>
      </c>
    </row>
    <row r="314" spans="7:10" ht="15" x14ac:dyDescent="0.2">
      <c r="I314" s="1" t="s">
        <v>138</v>
      </c>
      <c r="J314" s="2">
        <v>170</v>
      </c>
    </row>
    <row r="315" spans="7:10" ht="15" x14ac:dyDescent="0.2">
      <c r="I315" s="5" t="s">
        <v>825</v>
      </c>
      <c r="J315" s="6">
        <f>SUM(J308:J314)</f>
        <v>170</v>
      </c>
    </row>
    <row r="318" spans="7:10" ht="16" x14ac:dyDescent="0.2">
      <c r="G318" s="255" t="s">
        <v>989</v>
      </c>
      <c r="H318" s="233" t="s">
        <v>819</v>
      </c>
    </row>
    <row r="319" spans="7:10" ht="15" x14ac:dyDescent="0.2">
      <c r="G319" s="1"/>
      <c r="H319" s="2"/>
    </row>
    <row r="320" spans="7:10" ht="15" x14ac:dyDescent="0.2">
      <c r="G320" s="5" t="s">
        <v>825</v>
      </c>
      <c r="H320" s="6">
        <f>SUM(H313:H319)</f>
        <v>0</v>
      </c>
    </row>
    <row r="322" spans="7:10" ht="16" x14ac:dyDescent="0.2">
      <c r="G322" s="232" t="s">
        <v>990</v>
      </c>
      <c r="H322" s="233" t="s">
        <v>819</v>
      </c>
    </row>
    <row r="323" spans="7:10" ht="15" x14ac:dyDescent="0.2">
      <c r="G323" s="1" t="s">
        <v>155</v>
      </c>
      <c r="H323" s="2">
        <v>110</v>
      </c>
    </row>
    <row r="324" spans="7:10" ht="15" x14ac:dyDescent="0.2">
      <c r="G324" s="1" t="s">
        <v>170</v>
      </c>
      <c r="H324" s="2">
        <v>110</v>
      </c>
    </row>
    <row r="325" spans="7:10" ht="15" x14ac:dyDescent="0.2">
      <c r="G325" s="1" t="s">
        <v>219</v>
      </c>
      <c r="H325" s="2">
        <v>70</v>
      </c>
    </row>
    <row r="326" spans="7:10" ht="15" x14ac:dyDescent="0.2">
      <c r="G326" s="1" t="s">
        <v>537</v>
      </c>
      <c r="H326" s="2">
        <v>10</v>
      </c>
    </row>
    <row r="327" spans="7:10" ht="15" x14ac:dyDescent="0.2">
      <c r="G327" s="1" t="s">
        <v>126</v>
      </c>
      <c r="H327" s="2">
        <v>170</v>
      </c>
    </row>
    <row r="328" spans="7:10" ht="15" x14ac:dyDescent="0.2">
      <c r="G328" s="1" t="s">
        <v>139</v>
      </c>
      <c r="H328" s="2">
        <v>170</v>
      </c>
    </row>
    <row r="329" spans="7:10" ht="15" x14ac:dyDescent="0.2">
      <c r="G329" s="1" t="s">
        <v>189</v>
      </c>
      <c r="H329" s="2">
        <v>90</v>
      </c>
    </row>
    <row r="330" spans="7:10" ht="15" x14ac:dyDescent="0.2">
      <c r="G330" s="5" t="s">
        <v>825</v>
      </c>
      <c r="H330" s="6">
        <f>SUM(H323:H329)</f>
        <v>730</v>
      </c>
    </row>
    <row r="332" spans="7:10" ht="16" x14ac:dyDescent="0.2">
      <c r="G332" s="232" t="s">
        <v>991</v>
      </c>
      <c r="H332" s="233" t="s">
        <v>819</v>
      </c>
    </row>
    <row r="333" spans="7:10" ht="15" x14ac:dyDescent="0.2">
      <c r="G333" s="1" t="s">
        <v>150</v>
      </c>
      <c r="H333" s="2">
        <v>140</v>
      </c>
    </row>
    <row r="334" spans="7:10" ht="15" x14ac:dyDescent="0.2">
      <c r="G334" s="1" t="s">
        <v>171</v>
      </c>
      <c r="H334" s="2">
        <v>110</v>
      </c>
    </row>
    <row r="335" spans="7:10" ht="15" x14ac:dyDescent="0.2">
      <c r="G335" s="5" t="s">
        <v>825</v>
      </c>
      <c r="H335" s="6">
        <f>SUM(H333:H334)</f>
        <v>250</v>
      </c>
    </row>
    <row r="336" spans="7:10" ht="16" x14ac:dyDescent="0.2">
      <c r="I336" s="232" t="s">
        <v>992</v>
      </c>
      <c r="J336" s="233" t="s">
        <v>819</v>
      </c>
    </row>
    <row r="337" spans="9:10" ht="15" x14ac:dyDescent="0.2">
      <c r="I337" s="1" t="s">
        <v>136</v>
      </c>
      <c r="J337" s="2">
        <v>170</v>
      </c>
    </row>
    <row r="338" spans="9:10" ht="15" x14ac:dyDescent="0.2">
      <c r="I338" s="1" t="s">
        <v>169</v>
      </c>
      <c r="J338" s="2">
        <v>110</v>
      </c>
    </row>
    <row r="339" spans="9:10" ht="15" x14ac:dyDescent="0.2">
      <c r="I339" s="1" t="s">
        <v>173</v>
      </c>
      <c r="J339" s="2">
        <v>110</v>
      </c>
    </row>
    <row r="340" spans="9:10" ht="15" x14ac:dyDescent="0.2">
      <c r="I340" s="1" t="s">
        <v>186</v>
      </c>
      <c r="J340" s="2">
        <v>90</v>
      </c>
    </row>
    <row r="341" spans="9:10" ht="15" x14ac:dyDescent="0.2">
      <c r="I341" s="256" t="s">
        <v>266</v>
      </c>
      <c r="J341" s="2">
        <v>40</v>
      </c>
    </row>
    <row r="342" spans="9:10" ht="15" x14ac:dyDescent="0.2">
      <c r="I342" s="1" t="s">
        <v>529</v>
      </c>
      <c r="J342" s="2">
        <v>10</v>
      </c>
    </row>
    <row r="343" spans="9:10" ht="15" x14ac:dyDescent="0.2">
      <c r="I343" s="1" t="s">
        <v>530</v>
      </c>
      <c r="J343" s="2">
        <v>10</v>
      </c>
    </row>
    <row r="344" spans="9:10" ht="15" x14ac:dyDescent="0.2">
      <c r="I344" s="5" t="s">
        <v>825</v>
      </c>
      <c r="J344" s="6">
        <f>SUM(J337:J343)</f>
        <v>540</v>
      </c>
    </row>
    <row r="346" spans="9:10" ht="16" x14ac:dyDescent="0.2">
      <c r="I346" s="232" t="s">
        <v>993</v>
      </c>
      <c r="J346" s="233" t="s">
        <v>819</v>
      </c>
    </row>
    <row r="347" spans="9:10" ht="15" x14ac:dyDescent="0.2">
      <c r="I347" s="1" t="s">
        <v>151</v>
      </c>
      <c r="J347" s="2">
        <v>140</v>
      </c>
    </row>
    <row r="348" spans="9:10" ht="15" x14ac:dyDescent="0.2">
      <c r="I348" s="244" t="s">
        <v>247</v>
      </c>
      <c r="J348" s="90">
        <v>50</v>
      </c>
    </row>
    <row r="349" spans="9:10" ht="15" x14ac:dyDescent="0.2">
      <c r="I349" s="244" t="s">
        <v>249</v>
      </c>
      <c r="J349" s="90">
        <v>50</v>
      </c>
    </row>
    <row r="350" spans="9:10" ht="15" x14ac:dyDescent="0.2">
      <c r="I350" s="244" t="s">
        <v>279</v>
      </c>
      <c r="J350" s="90">
        <v>40</v>
      </c>
    </row>
    <row r="351" spans="9:10" ht="15" x14ac:dyDescent="0.2">
      <c r="I351" s="244" t="s">
        <v>317</v>
      </c>
      <c r="J351" s="90">
        <v>30</v>
      </c>
    </row>
    <row r="352" spans="9:10" ht="15" x14ac:dyDescent="0.2">
      <c r="I352" s="257" t="s">
        <v>340</v>
      </c>
      <c r="J352" s="90">
        <v>20</v>
      </c>
    </row>
    <row r="353" spans="5:10" ht="15" x14ac:dyDescent="0.2">
      <c r="I353" s="244" t="s">
        <v>374</v>
      </c>
      <c r="J353" s="90">
        <v>20</v>
      </c>
    </row>
    <row r="354" spans="5:10" ht="15" x14ac:dyDescent="0.2">
      <c r="I354" s="5" t="s">
        <v>825</v>
      </c>
      <c r="J354" s="6">
        <f>SUM(J347:J353)</f>
        <v>350</v>
      </c>
    </row>
    <row r="356" spans="5:10" ht="16" x14ac:dyDescent="0.2">
      <c r="G356" s="239" t="s">
        <v>994</v>
      </c>
      <c r="H356" s="233" t="s">
        <v>819</v>
      </c>
    </row>
    <row r="357" spans="5:10" ht="15" x14ac:dyDescent="0.2">
      <c r="G357" s="1" t="s">
        <v>71</v>
      </c>
      <c r="H357" s="2">
        <v>480</v>
      </c>
    </row>
    <row r="359" spans="5:10" ht="16" x14ac:dyDescent="0.2">
      <c r="G359" s="239" t="s">
        <v>995</v>
      </c>
      <c r="H359" s="233" t="s">
        <v>819</v>
      </c>
    </row>
    <row r="360" spans="5:10" ht="15" x14ac:dyDescent="0.2">
      <c r="E360" s="253"/>
      <c r="F360" s="253"/>
      <c r="G360" s="1" t="s">
        <v>137</v>
      </c>
      <c r="H360" s="2">
        <v>170</v>
      </c>
    </row>
    <row r="361" spans="5:10" ht="15" x14ac:dyDescent="0.2">
      <c r="E361" s="1"/>
      <c r="F361" s="2"/>
      <c r="G361" s="1" t="s">
        <v>246</v>
      </c>
      <c r="H361" s="2">
        <v>50</v>
      </c>
    </row>
    <row r="362" spans="5:10" ht="15" x14ac:dyDescent="0.2">
      <c r="E362" s="5"/>
      <c r="F362" s="6"/>
      <c r="G362" s="258" t="s">
        <v>260</v>
      </c>
      <c r="H362" s="2">
        <v>40</v>
      </c>
    </row>
    <row r="363" spans="5:10" ht="15" x14ac:dyDescent="0.2">
      <c r="G363" s="258" t="s">
        <v>305</v>
      </c>
      <c r="H363" s="2">
        <v>30</v>
      </c>
    </row>
    <row r="364" spans="5:10" ht="15" x14ac:dyDescent="0.2">
      <c r="G364" s="1" t="s">
        <v>321</v>
      </c>
      <c r="H364" s="2">
        <v>30</v>
      </c>
    </row>
    <row r="365" spans="5:10" ht="15" x14ac:dyDescent="0.2">
      <c r="G365" s="5" t="s">
        <v>825</v>
      </c>
      <c r="H365" s="6">
        <f>SUM(H360:H364)</f>
        <v>320</v>
      </c>
    </row>
    <row r="368" spans="5:10" ht="16" x14ac:dyDescent="0.2">
      <c r="E368" s="239" t="s">
        <v>996</v>
      </c>
      <c r="F368" s="233" t="s">
        <v>819</v>
      </c>
    </row>
    <row r="369" spans="5:6" ht="15.75" customHeight="1" x14ac:dyDescent="0.15">
      <c r="E369" s="183" t="s">
        <v>192</v>
      </c>
      <c r="F369" s="183">
        <v>70</v>
      </c>
    </row>
    <row r="370" spans="5:6" ht="15.75" customHeight="1" x14ac:dyDescent="0.15">
      <c r="E370" s="183" t="s">
        <v>683</v>
      </c>
      <c r="F370" s="183">
        <v>20</v>
      </c>
    </row>
    <row r="371" spans="5:6" ht="15.75" customHeight="1" x14ac:dyDescent="0.15">
      <c r="E371" s="183" t="s">
        <v>350</v>
      </c>
      <c r="F371" s="183">
        <v>20</v>
      </c>
    </row>
    <row r="372" spans="5:6" ht="15.75" customHeight="1" x14ac:dyDescent="0.15">
      <c r="E372" s="183" t="s">
        <v>375</v>
      </c>
      <c r="F372" s="183">
        <v>20</v>
      </c>
    </row>
    <row r="373" spans="5:6" ht="15.75" customHeight="1" x14ac:dyDescent="0.15">
      <c r="E373" s="259" t="s">
        <v>801</v>
      </c>
      <c r="F373" s="259">
        <v>20</v>
      </c>
    </row>
    <row r="374" spans="5:6" ht="15.75" customHeight="1" x14ac:dyDescent="0.15">
      <c r="E374" s="183" t="s">
        <v>390</v>
      </c>
      <c r="F374" s="183">
        <v>10</v>
      </c>
    </row>
    <row r="375" spans="5:6" ht="15.75" customHeight="1" x14ac:dyDescent="0.15">
      <c r="E375" s="183" t="s">
        <v>397</v>
      </c>
      <c r="F375" s="183">
        <v>10</v>
      </c>
    </row>
    <row r="376" spans="5:6" ht="15.75" customHeight="1" x14ac:dyDescent="0.15">
      <c r="E376" s="183" t="s">
        <v>470</v>
      </c>
      <c r="F376" s="183">
        <v>10</v>
      </c>
    </row>
    <row r="377" spans="5:6" ht="15.75" customHeight="1" x14ac:dyDescent="0.15">
      <c r="E377" s="183" t="s">
        <v>496</v>
      </c>
      <c r="F377" s="183">
        <v>10</v>
      </c>
    </row>
    <row r="378" spans="5:6" ht="15.75" customHeight="1" x14ac:dyDescent="0.15">
      <c r="E378" s="183" t="s">
        <v>684</v>
      </c>
      <c r="F378" s="183">
        <v>10</v>
      </c>
    </row>
    <row r="379" spans="5:6" ht="15.75" customHeight="1" x14ac:dyDescent="0.15">
      <c r="E379" s="183" t="s">
        <v>549</v>
      </c>
      <c r="F379" s="183">
        <v>10</v>
      </c>
    </row>
    <row r="380" spans="5:6" ht="15.75" customHeight="1" x14ac:dyDescent="0.15">
      <c r="E380" s="183" t="s">
        <v>550</v>
      </c>
      <c r="F380" s="183">
        <v>10</v>
      </c>
    </row>
  </sheetData>
  <hyperlinks>
    <hyperlink ref="C4" r:id="rId1" xr:uid="{00000000-0004-0000-0900-000000000000}"/>
    <hyperlink ref="E87" r:id="rId2" xr:uid="{00000000-0004-0000-0900-000001000000}"/>
    <hyperlink ref="E97" r:id="rId3" xr:uid="{00000000-0004-0000-0900-000002000000}"/>
    <hyperlink ref="G110" r:id="rId4" xr:uid="{00000000-0004-0000-0900-000003000000}"/>
    <hyperlink ref="E118" r:id="rId5" xr:uid="{00000000-0004-0000-0900-000004000000}"/>
    <hyperlink ref="E144" r:id="rId6" xr:uid="{00000000-0004-0000-0900-000005000000}"/>
    <hyperlink ref="G227" r:id="rId7" xr:uid="{00000000-0004-0000-0900-000006000000}"/>
    <hyperlink ref="G282" r:id="rId8" xr:uid="{00000000-0004-0000-0900-000007000000}"/>
    <hyperlink ref="G303" r:id="rId9" xr:uid="{00000000-0004-0000-0900-000008000000}"/>
    <hyperlink ref="I313" r:id="rId10" xr:uid="{00000000-0004-0000-0900-000009000000}"/>
    <hyperlink ref="G318" r:id="rId11" xr:uid="{00000000-0004-0000-0900-00000A000000}"/>
    <hyperlink ref="G322" r:id="rId12" xr:uid="{00000000-0004-0000-0900-00000B000000}"/>
    <hyperlink ref="G332" r:id="rId13" xr:uid="{00000000-0004-0000-0900-00000C000000}"/>
    <hyperlink ref="I336" r:id="rId14" xr:uid="{00000000-0004-0000-0900-00000D000000}"/>
    <hyperlink ref="I346" r:id="rId15" xr:uid="{00000000-0004-0000-0900-00000E000000}"/>
    <hyperlink ref="G356" r:id="rId16" xr:uid="{00000000-0004-0000-0900-00000F000000}"/>
    <hyperlink ref="G359" r:id="rId17" xr:uid="{00000000-0004-0000-0900-000010000000}"/>
    <hyperlink ref="E368" r:id="rId18" xr:uid="{00000000-0004-0000-0900-000011000000}"/>
  </hyperlinks>
  <pageMargins left="0.7" right="0.7" top="0.75" bottom="0.75" header="0.3" footer="0.3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 Reserarch</vt:lpstr>
      <vt:lpstr>KW</vt:lpstr>
      <vt:lpstr>ES</vt:lpstr>
      <vt:lpstr>EN</vt:lpstr>
      <vt:lpstr>Arquitectura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Miquel Pérez Victorio</cp:lastModifiedBy>
  <dcterms:created xsi:type="dcterms:W3CDTF">2022-03-31T15:26:21Z</dcterms:created>
  <dcterms:modified xsi:type="dcterms:W3CDTF">2022-04-01T16:36:56Z</dcterms:modified>
</cp:coreProperties>
</file>