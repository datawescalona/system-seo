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ai\Downloads\"/>
    </mc:Choice>
  </mc:AlternateContent>
  <xr:revisionPtr revIDLastSave="0" documentId="13_ncr:1_{65D4ED4D-FD44-4058-9AA6-88AB8B03A6E1}" xr6:coauthVersionLast="47" xr6:coauthVersionMax="47" xr10:uidLastSave="{00000000-0000-0000-0000-000000000000}"/>
  <bookViews>
    <workbookView xWindow="-120" yWindow="-120" windowWidth="29040" windowHeight="15840" xr2:uid="{39A2F9A5-C143-4840-B98A-5828EA3E27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82" i="1" l="1"/>
  <c r="J378" i="1"/>
  <c r="J374" i="1"/>
  <c r="J370" i="1"/>
  <c r="J358" i="1"/>
  <c r="J349" i="1"/>
  <c r="J354" i="1"/>
  <c r="H257" i="1"/>
  <c r="H311" i="1"/>
  <c r="H307" i="1"/>
  <c r="J63" i="1"/>
  <c r="J59" i="1"/>
  <c r="J49" i="1"/>
  <c r="H101" i="1"/>
  <c r="H97" i="1"/>
  <c r="H93" i="1"/>
  <c r="H89" i="1"/>
  <c r="H85" i="1"/>
  <c r="H81" i="1"/>
  <c r="H158" i="1"/>
  <c r="H154" i="1"/>
  <c r="H149" i="1"/>
  <c r="H144" i="1"/>
  <c r="H132" i="1"/>
  <c r="H128" i="1"/>
  <c r="H119" i="1"/>
  <c r="H114" i="1"/>
  <c r="H199" i="1"/>
  <c r="H234" i="1"/>
  <c r="H222" i="1"/>
  <c r="H212" i="1"/>
  <c r="H217" i="1"/>
  <c r="H77" i="1"/>
  <c r="H123" i="1"/>
  <c r="F513" i="1"/>
  <c r="F506" i="1"/>
  <c r="F498" i="1"/>
  <c r="F491" i="1"/>
  <c r="F483" i="1"/>
  <c r="F475" i="1"/>
  <c r="F468" i="1"/>
  <c r="F458" i="1"/>
  <c r="D448" i="1"/>
  <c r="F437" i="1"/>
  <c r="H428" i="1"/>
  <c r="H422" i="1"/>
  <c r="F417" i="1"/>
  <c r="F401" i="1"/>
  <c r="D393" i="1"/>
  <c r="H366" i="1"/>
  <c r="H345" i="1"/>
  <c r="F337" i="1"/>
  <c r="F328" i="1"/>
  <c r="D322" i="1"/>
  <c r="F303" i="1"/>
  <c r="F295" i="1"/>
  <c r="F282" i="1"/>
  <c r="D268" i="1"/>
  <c r="F229" i="1"/>
  <c r="F208" i="1"/>
  <c r="F195" i="1"/>
  <c r="H188" i="1"/>
  <c r="H177" i="1"/>
  <c r="F166" i="1"/>
  <c r="H140" i="1"/>
  <c r="F110" i="1"/>
  <c r="J72" i="1"/>
  <c r="J45" i="1"/>
  <c r="H37" i="1"/>
  <c r="F28" i="1"/>
  <c r="D18" i="1"/>
  <c r="B5" i="1"/>
  <c r="H253" i="1"/>
</calcChain>
</file>

<file path=xl/sharedStrings.xml><?xml version="1.0" encoding="utf-8"?>
<sst xmlns="http://schemas.openxmlformats.org/spreadsheetml/2006/main" count="484" uniqueCount="366">
  <si>
    <t>SUBCATEOGRÍAS 1</t>
  </si>
  <si>
    <t>SUBCATEOGRÍAS 2</t>
  </si>
  <si>
    <t>SUBCATEOGRÍAS 3</t>
  </si>
  <si>
    <t>Apple</t>
  </si>
  <si>
    <t>apple</t>
  </si>
  <si>
    <t>apple comprar</t>
  </si>
  <si>
    <t xml:space="preserve">CATEGORÍA </t>
  </si>
  <si>
    <t>Total</t>
  </si>
  <si>
    <t>/mac</t>
  </si>
  <si>
    <t>mac</t>
  </si>
  <si>
    <t>ordenador apple</t>
  </si>
  <si>
    <t>portatil apple</t>
  </si>
  <si>
    <t>ordenador mac</t>
  </si>
  <si>
    <t>ordenador portatil apple</t>
  </si>
  <si>
    <t>comprar mac</t>
  </si>
  <si>
    <t>comprar macbook</t>
  </si>
  <si>
    <t>ordenador apple precio</t>
  </si>
  <si>
    <t>mac apple precios</t>
  </si>
  <si>
    <t>comprar ordenador apple</t>
  </si>
  <si>
    <t>/macbook-pro</t>
  </si>
  <si>
    <t>macbook pro</t>
  </si>
  <si>
    <t>comprar macbook pro</t>
  </si>
  <si>
    <t>macbook pro oferta</t>
  </si>
  <si>
    <t>macbook pro precio</t>
  </si>
  <si>
    <t>nuevo macbook pro</t>
  </si>
  <si>
    <t>macbook pro comprar</t>
  </si>
  <si>
    <t>comprar macbook pro barato</t>
  </si>
  <si>
    <t>/macbook-pro-13-pulgadas</t>
  </si>
  <si>
    <t>cambio URL</t>
  </si>
  <si>
    <t>macbook pro 13</t>
  </si>
  <si>
    <t>macbook pro 13 2019</t>
  </si>
  <si>
    <t>macbook pro 13 pulgadas</t>
  </si>
  <si>
    <t>macbook pro 13 touch bar</t>
  </si>
  <si>
    <t>macbook pro retina 13</t>
  </si>
  <si>
    <t>apple macbook pro 13</t>
  </si>
  <si>
    <t>/macbook-pro-13+capacidad</t>
  </si>
  <si>
    <t>nuevas URLs</t>
  </si>
  <si>
    <t>macbook pro 13 256gb</t>
  </si>
  <si>
    <t>macbook pro 13 128gb</t>
  </si>
  <si>
    <t>macbook pro 13 512gb</t>
  </si>
  <si>
    <t>macbook pro 13 1tb</t>
  </si>
  <si>
    <t>macbook pro 13 2tb</t>
  </si>
  <si>
    <t>macbook pro 13 i7</t>
  </si>
  <si>
    <t>/macbook-pro-16-pulgadas</t>
  </si>
  <si>
    <t>macbook pro 16</t>
  </si>
  <si>
    <t>macbook pro 16 pulgadas</t>
  </si>
  <si>
    <t>macbook 16</t>
  </si>
  <si>
    <t>macbook 16 pulgadas</t>
  </si>
  <si>
    <t>macbook pro 16 16gb</t>
  </si>
  <si>
    <t>macbook pro 16 1tb</t>
  </si>
  <si>
    <t>macbook pro 16 32gb</t>
  </si>
  <si>
    <t>macbook pro 16 512gb</t>
  </si>
  <si>
    <t>macbook pro 16 64gb</t>
  </si>
  <si>
    <t>macbook pro 16 8tb</t>
  </si>
  <si>
    <t>/macbook-pro-16+capacidad</t>
  </si>
  <si>
    <t>macbook pro 16 i9</t>
  </si>
  <si>
    <t>macbook pro 16 i7</t>
  </si>
  <si>
    <t>/macbook-air</t>
  </si>
  <si>
    <t>macbook air</t>
  </si>
  <si>
    <t>macbook air 13</t>
  </si>
  <si>
    <t>macbook air 2019</t>
  </si>
  <si>
    <t>macbook air precio</t>
  </si>
  <si>
    <t>comprar macbook air</t>
  </si>
  <si>
    <t>nuevo macbook air</t>
  </si>
  <si>
    <t>macbook air colores</t>
  </si>
  <si>
    <t>macbook air gris espacial</t>
  </si>
  <si>
    <t>macbook air oro</t>
  </si>
  <si>
    <t>macbook air plata</t>
  </si>
  <si>
    <t>macbook air 13 pulgadas</t>
  </si>
  <si>
    <t>macbook air oferta</t>
  </si>
  <si>
    <t>/macbook-air-i5</t>
  </si>
  <si>
    <t>macbook air core i5</t>
  </si>
  <si>
    <t>macbook air intel core i5</t>
  </si>
  <si>
    <t>macbook air i5</t>
  </si>
  <si>
    <t>macbook air oro rosa</t>
  </si>
  <si>
    <t>macbook air 256gb</t>
  </si>
  <si>
    <t>macbook air 13 256gb</t>
  </si>
  <si>
    <t>macbook air 13 128gb</t>
  </si>
  <si>
    <t>macbook air 512gb</t>
  </si>
  <si>
    <t>macbook air 13 512gb</t>
  </si>
  <si>
    <t>macbook air 13 1tb</t>
  </si>
  <si>
    <t>/imac</t>
  </si>
  <si>
    <t>imac</t>
  </si>
  <si>
    <t>imac precio</t>
  </si>
  <si>
    <t>nuevo imac</t>
  </si>
  <si>
    <t>comprar imac</t>
  </si>
  <si>
    <t>que imac comprar</t>
  </si>
  <si>
    <t>imac 21 5</t>
  </si>
  <si>
    <t>imac 21.5</t>
  </si>
  <si>
    <t>imac 21 pulgadas</t>
  </si>
  <si>
    <t>apple imac 21 5</t>
  </si>
  <si>
    <t>imac 21 2019</t>
  </si>
  <si>
    <t>imac 27</t>
  </si>
  <si>
    <t>imac 27 pulgadas</t>
  </si>
  <si>
    <t>imac 27 precio</t>
  </si>
  <si>
    <t>comprar imac 27</t>
  </si>
  <si>
    <t>imac 27 pulgadas 5k</t>
  </si>
  <si>
    <t>imac 27 pulgadas precio</t>
  </si>
  <si>
    <t>imac 27 5k</t>
  </si>
  <si>
    <t>imac 27 5k 2019</t>
  </si>
  <si>
    <t>imac 21.5 4k</t>
  </si>
  <si>
    <t>imac 21 5 4k</t>
  </si>
  <si>
    <t>imac 21 4k</t>
  </si>
  <si>
    <t>/imac-pro</t>
  </si>
  <si>
    <t>imac pro</t>
  </si>
  <si>
    <t>imac pro 2019</t>
  </si>
  <si>
    <t>imac pro precio</t>
  </si>
  <si>
    <t>comprar imac pro</t>
  </si>
  <si>
    <t>nuevo imac pro</t>
  </si>
  <si>
    <t>/mac-mini</t>
  </si>
  <si>
    <t>mac mini</t>
  </si>
  <si>
    <t>apple mac mini</t>
  </si>
  <si>
    <t>comprar mac mini</t>
  </si>
  <si>
    <t>nuevo mac mini</t>
  </si>
  <si>
    <t>mac mini oferta</t>
  </si>
  <si>
    <t>mac mini barato</t>
  </si>
  <si>
    <t>mac mini i7</t>
  </si>
  <si>
    <t>mac mini i5</t>
  </si>
  <si>
    <t>mac mini i3</t>
  </si>
  <si>
    <t>mac mini core i5</t>
  </si>
  <si>
    <t>mac mini core i7</t>
  </si>
  <si>
    <t>/mac-pro</t>
  </si>
  <si>
    <t>mac pro</t>
  </si>
  <si>
    <t>mac pro 2019</t>
  </si>
  <si>
    <t>apple mac pro</t>
  </si>
  <si>
    <t>mac pro precio</t>
  </si>
  <si>
    <t>nuevo mac pro</t>
  </si>
  <si>
    <t>nuevo mac pro 2019</t>
  </si>
  <si>
    <t>/apple-airpods</t>
  </si>
  <si>
    <t>airpods</t>
  </si>
  <si>
    <t>airpods apple</t>
  </si>
  <si>
    <t>airpods precio</t>
  </si>
  <si>
    <t>airpods baratos</t>
  </si>
  <si>
    <t>auriculares inalambricos apple</t>
  </si>
  <si>
    <t>airpods nuevos</t>
  </si>
  <si>
    <t>airpods comprar</t>
  </si>
  <si>
    <t>/music-tv</t>
  </si>
  <si>
    <t>nueva URL</t>
  </si>
  <si>
    <t>-</t>
  </si>
  <si>
    <t>apple tv</t>
  </si>
  <si>
    <t>apple tv comprar</t>
  </si>
  <si>
    <t>apple tv precio</t>
  </si>
  <si>
    <t>apple tv 4k</t>
  </si>
  <si>
    <t>apple tv 4</t>
  </si>
  <si>
    <t>apple tv 4k precio</t>
  </si>
  <si>
    <t>apple tv 4 generacion</t>
  </si>
  <si>
    <t>nuevo apple tv</t>
  </si>
  <si>
    <t>/homepod</t>
  </si>
  <si>
    <t>homepod</t>
  </si>
  <si>
    <t>apple homepod</t>
  </si>
  <si>
    <t>altavoz apple</t>
  </si>
  <si>
    <t>altavoz inteligente apple</t>
  </si>
  <si>
    <t>homepod precio</t>
  </si>
  <si>
    <t>altavoz de apple</t>
  </si>
  <si>
    <t>altavoz siri</t>
  </si>
  <si>
    <t>comprar homepod</t>
  </si>
  <si>
    <t>altavoz apple homepod</t>
  </si>
  <si>
    <t>apple homepod precio</t>
  </si>
  <si>
    <t>/ipod-touch</t>
  </si>
  <si>
    <t>ipod</t>
  </si>
  <si>
    <t>ipod touch</t>
  </si>
  <si>
    <t>ipod precio</t>
  </si>
  <si>
    <t>comprar ipod</t>
  </si>
  <si>
    <t>apple ipod touch</t>
  </si>
  <si>
    <t>ipod 32gb</t>
  </si>
  <si>
    <t>ipod touch 128gb</t>
  </si>
  <si>
    <t>/pro-display-xdr-32</t>
  </si>
  <si>
    <t>apple 6k</t>
  </si>
  <si>
    <t>apple monitor 6k</t>
  </si>
  <si>
    <t>apple pro display</t>
  </si>
  <si>
    <t>apple pro display xdr 32</t>
  </si>
  <si>
    <t>monitor 6k apple</t>
  </si>
  <si>
    <t>pro display xdr</t>
  </si>
  <si>
    <t>pro stand apple</t>
  </si>
  <si>
    <t>pro display xdr precio</t>
  </si>
  <si>
    <t>monitor apple 2019</t>
  </si>
  <si>
    <t>pro display</t>
  </si>
  <si>
    <t>pro display apple</t>
  </si>
  <si>
    <t>nuevo monitor de apple</t>
  </si>
  <si>
    <t>pantalla 6k apple</t>
  </si>
  <si>
    <t>pro stand de apple</t>
  </si>
  <si>
    <t>/ipad</t>
  </si>
  <si>
    <t>ipad</t>
  </si>
  <si>
    <t>apple ipad</t>
  </si>
  <si>
    <t>nuevo ipad</t>
  </si>
  <si>
    <t>modelos de ipad</t>
  </si>
  <si>
    <t>ipad comprar</t>
  </si>
  <si>
    <t>tipos de ipad</t>
  </si>
  <si>
    <t>ultimo ipad</t>
  </si>
  <si>
    <t>ipad 10.2</t>
  </si>
  <si>
    <t>ipad 10 2</t>
  </si>
  <si>
    <t>ipad 10.2 pulgadas</t>
  </si>
  <si>
    <t>/ipad-102-pulgadas</t>
  </si>
  <si>
    <t>/ipad-pro</t>
  </si>
  <si>
    <t>ipad pro</t>
  </si>
  <si>
    <t>ipad pro precio</t>
  </si>
  <si>
    <t>nuevo ipad pro</t>
  </si>
  <si>
    <t>comprar ipad pro</t>
  </si>
  <si>
    <t>ipad pro barato</t>
  </si>
  <si>
    <t>ipad pro oferta</t>
  </si>
  <si>
    <t>ipad pro 11</t>
  </si>
  <si>
    <t>ipad pro 12.9</t>
  </si>
  <si>
    <t>ipad pro 11 pulgadas</t>
  </si>
  <si>
    <t>ipad pro 12 9 pulgadas</t>
  </si>
  <si>
    <t>ipad pro 11 256gb</t>
  </si>
  <si>
    <t>ipad pro 11 64gb</t>
  </si>
  <si>
    <t>/ipad-pro-11-pulgadas</t>
  </si>
  <si>
    <t>/ipad-pro-129-pulgadas</t>
  </si>
  <si>
    <t>ipad pro 11 256</t>
  </si>
  <si>
    <t>comprar ipad pro 11</t>
  </si>
  <si>
    <t>ipad pro 11 oferta</t>
  </si>
  <si>
    <t>ipad pro 11 precio</t>
  </si>
  <si>
    <t>ipad pro 11 512gb</t>
  </si>
  <si>
    <t>comprar ipad pro 12.9</t>
  </si>
  <si>
    <t>ipad pro 12.9 precio</t>
  </si>
  <si>
    <t>ipad pro 12.9 256gb</t>
  </si>
  <si>
    <t>ipad pro 12.9 64gb</t>
  </si>
  <si>
    <t>ipad pro 12.9 512gb</t>
  </si>
  <si>
    <t>ipad pro 12.9 1tb</t>
  </si>
  <si>
    <t>/apple-watch</t>
  </si>
  <si>
    <t>apple watch</t>
  </si>
  <si>
    <t>iwatch</t>
  </si>
  <si>
    <t>reloj apple</t>
  </si>
  <si>
    <t>reloj iphone</t>
  </si>
  <si>
    <t>apple watch precio</t>
  </si>
  <si>
    <t>smartwatch apple</t>
  </si>
  <si>
    <t>reloj de apple</t>
  </si>
  <si>
    <t>/apple-watch-series-3</t>
  </si>
  <si>
    <t>apple watch serie 3</t>
  </si>
  <si>
    <t>apple watch 3</t>
  </si>
  <si>
    <t>apple watch series 3</t>
  </si>
  <si>
    <t>iwatch 3</t>
  </si>
  <si>
    <t>apple watch 3 precio</t>
  </si>
  <si>
    <t>/apple-watch-series-5</t>
  </si>
  <si>
    <t>apple watch 5</t>
  </si>
  <si>
    <t>apple watch serie 5</t>
  </si>
  <si>
    <t>apple watch series 5</t>
  </si>
  <si>
    <t>iwatch 5</t>
  </si>
  <si>
    <t>apple watch 5 precio</t>
  </si>
  <si>
    <t>reloj apple watch serie 5</t>
  </si>
  <si>
    <t>apple watch serie 5 precio</t>
  </si>
  <si>
    <t>iwatch serie 5</t>
  </si>
  <si>
    <t>nuevo apple watch 5</t>
  </si>
  <si>
    <t>reloj apple serie 5</t>
  </si>
  <si>
    <t>smartwatch apple serie 5</t>
  </si>
  <si>
    <t>comprar apple watch 5</t>
  </si>
  <si>
    <t>precio apple watch 5</t>
  </si>
  <si>
    <t>/apple-watch-series-5-40mm</t>
  </si>
  <si>
    <t>apple watch 5 40mm</t>
  </si>
  <si>
    <t>iwatch 5 40mm</t>
  </si>
  <si>
    <t>/apple-watch-series-5-44mm</t>
  </si>
  <si>
    <t>apple watch 5 44mm</t>
  </si>
  <si>
    <t>apple watch serie 5 44mm</t>
  </si>
  <si>
    <t>apple watch 5 44</t>
  </si>
  <si>
    <t>apple-watch-nike</t>
  </si>
  <si>
    <t>apple watch nike</t>
  </si>
  <si>
    <t>apple watch 3 nike</t>
  </si>
  <si>
    <t>apple watch serie 3 nike</t>
  </si>
  <si>
    <t>apple watch 5 nike</t>
  </si>
  <si>
    <t>apple watch nike 5</t>
  </si>
  <si>
    <t>apple watch serie 5 nike</t>
  </si>
  <si>
    <t>/iphone</t>
  </si>
  <si>
    <t>iphone</t>
  </si>
  <si>
    <t>nuevo iphone</t>
  </si>
  <si>
    <t>iphone precio</t>
  </si>
  <si>
    <t>nuevo iphone 2019</t>
  </si>
  <si>
    <t>comprar iphone</t>
  </si>
  <si>
    <t>ofertas iphone</t>
  </si>
  <si>
    <t>iphone comprar</t>
  </si>
  <si>
    <t>comprar iphone financiado</t>
  </si>
  <si>
    <t>/iphone-11</t>
  </si>
  <si>
    <t>iphone 11</t>
  </si>
  <si>
    <t>iphone 11 precio</t>
  </si>
  <si>
    <t>precio iphone 11</t>
  </si>
  <si>
    <t>apple iphone 11</t>
  </si>
  <si>
    <t>iphone xi</t>
  </si>
  <si>
    <t>comprar iphone 11</t>
  </si>
  <si>
    <t>nuevo iphone 11</t>
  </si>
  <si>
    <t>/iphone-11-pro</t>
  </si>
  <si>
    <t>iphone 11 pro</t>
  </si>
  <si>
    <t>iphone 11 pro precio</t>
  </si>
  <si>
    <t>precio iphone 11 pro</t>
  </si>
  <si>
    <t>apple iphone 11 pro</t>
  </si>
  <si>
    <t>comprar iphone 11 pro</t>
  </si>
  <si>
    <t>iphone pro 11</t>
  </si>
  <si>
    <t>nuevo iphone 11 pro</t>
  </si>
  <si>
    <t>/iphone-11-pro-max</t>
  </si>
  <si>
    <t>comprar iphone 11 pro max</t>
  </si>
  <si>
    <t>iphone 11 max</t>
  </si>
  <si>
    <t>iphone 11 pro max</t>
  </si>
  <si>
    <t>iphone pro max</t>
  </si>
  <si>
    <t>/iphone-xr</t>
  </si>
  <si>
    <t>iphone xr</t>
  </si>
  <si>
    <t>iphone xr precio</t>
  </si>
  <si>
    <t>iphone xr caracteristicas</t>
  </si>
  <si>
    <t>apple iphone xr</t>
  </si>
  <si>
    <t>precio iphone xr</t>
  </si>
  <si>
    <t>/iphone-8</t>
  </si>
  <si>
    <t>iphone 8</t>
  </si>
  <si>
    <t>iphone 8 precio</t>
  </si>
  <si>
    <t>apple iphone 8</t>
  </si>
  <si>
    <t>comprar iphone 8</t>
  </si>
  <si>
    <t>oferta iphone 8</t>
  </si>
  <si>
    <t>/iphone-8-plus</t>
  </si>
  <si>
    <t>iphone 8 plus</t>
  </si>
  <si>
    <t>iphone 8 plus precio</t>
  </si>
  <si>
    <t>iphone 8 plus oferta</t>
  </si>
  <si>
    <t>comprar iphone 8 plus</t>
  </si>
  <si>
    <t>/iphone-7</t>
  </si>
  <si>
    <t>iphone 7</t>
  </si>
  <si>
    <t>iphone 7 precio</t>
  </si>
  <si>
    <t>iphone 7 nuevo</t>
  </si>
  <si>
    <t>apple iphone 7</t>
  </si>
  <si>
    <t>iphone 7 comprar</t>
  </si>
  <si>
    <t>/iphone-7-plus</t>
  </si>
  <si>
    <t>iphone 7 plus</t>
  </si>
  <si>
    <t>iphone 7 plus precio</t>
  </si>
  <si>
    <t>apple iphone 7 plus</t>
  </si>
  <si>
    <t>comprar iphone 7 plus</t>
  </si>
  <si>
    <t>/macbook-pro-256gb</t>
  </si>
  <si>
    <t>macbook pro 256gb</t>
  </si>
  <si>
    <t>macbook pro 256</t>
  </si>
  <si>
    <t>/macbook-air-2019</t>
  </si>
  <si>
    <t>/macbook-air-13-pulgadas</t>
  </si>
  <si>
    <t>/imac-215-pulgadas-4k</t>
  </si>
  <si>
    <t>/imac-27-pulgadas-5k</t>
  </si>
  <si>
    <t>/imac-pro-2019</t>
  </si>
  <si>
    <t>/monitor-apple</t>
  </si>
  <si>
    <t>/apple-tv-4k</t>
  </si>
  <si>
    <t xml:space="preserve">monitor apple </t>
  </si>
  <si>
    <t>/pro-stand-apple</t>
  </si>
  <si>
    <t>/mac-mini+i3</t>
  </si>
  <si>
    <t>/mac-mini+i5</t>
  </si>
  <si>
    <t>/mac-mini+i7</t>
  </si>
  <si>
    <t>/mac-pro-2019</t>
  </si>
  <si>
    <t>/macbook-air-gris-espacial</t>
  </si>
  <si>
    <t>/macbook-air-oro</t>
  </si>
  <si>
    <t>/macbook-air-plata</t>
  </si>
  <si>
    <t>/macbook-air-13+128gb</t>
  </si>
  <si>
    <t>/macbook-air-13+256gb</t>
  </si>
  <si>
    <t>/macbook-air-13+512gb</t>
  </si>
  <si>
    <t>/macbook-air-13+1tb</t>
  </si>
  <si>
    <t>/macbook-pro-128gb</t>
  </si>
  <si>
    <t>macbook pro 128gb</t>
  </si>
  <si>
    <t>macbook pro 1tb</t>
  </si>
  <si>
    <t>/macbook-pro-1tb</t>
  </si>
  <si>
    <t>/macbook-pro-2tb</t>
  </si>
  <si>
    <t>macbook pro 2tb</t>
  </si>
  <si>
    <t>/macbook-pro-4tb</t>
  </si>
  <si>
    <t>macbook pro 4tb</t>
  </si>
  <si>
    <t>/macbook-pro-521gb</t>
  </si>
  <si>
    <t>macbook pro 512gb</t>
  </si>
  <si>
    <t>/macbook-pro-13-i7</t>
  </si>
  <si>
    <t>/macbook-pro-16+i7</t>
  </si>
  <si>
    <t>/macbook-pro-16+i9</t>
  </si>
  <si>
    <t>/ipod-touch+32gb</t>
  </si>
  <si>
    <t>/ipod-touch+128gb</t>
  </si>
  <si>
    <t>Leyenda</t>
  </si>
  <si>
    <t>/ipad-pro-129-64gb</t>
  </si>
  <si>
    <t>/ipad-pro-11-512gb</t>
  </si>
  <si>
    <t>/ipad-pro-11-256gb</t>
  </si>
  <si>
    <t>/ipad-pro-11-64gb</t>
  </si>
  <si>
    <t>/ipad-pro-129-256gb</t>
  </si>
  <si>
    <t>/ipad-pro-129-512gb</t>
  </si>
  <si>
    <t>/ipad-pro-129-1b</t>
  </si>
  <si>
    <t>Dominio.com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</si>
</sst>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B08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3" fillId="4" borderId="0" xfId="0" applyFont="1" applyFill="1" applyAlignment="1">
      <alignment horizontal="right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4" fillId="0" borderId="0" xfId="0" applyFont="1"/>
    <xf numFmtId="0" fontId="5" fillId="5" borderId="0" xfId="0" applyFont="1" applyFill="1" applyAlignment="1">
      <alignment horizontal="right"/>
    </xf>
    <xf numFmtId="0" fontId="1" fillId="0" borderId="0" xfId="0" applyFont="1" applyFill="1"/>
    <xf numFmtId="0" fontId="5" fillId="0" borderId="0" xfId="0" applyFont="1" applyFill="1" applyAlignment="1">
      <alignment horizontal="right"/>
    </xf>
    <xf numFmtId="0" fontId="5" fillId="3" borderId="0" xfId="0" applyFont="1" applyFill="1" applyAlignment="1">
      <alignment horizontal="left"/>
    </xf>
    <xf numFmtId="0" fontId="0" fillId="8" borderId="0" xfId="0" applyFill="1"/>
    <xf numFmtId="0" fontId="5" fillId="7" borderId="0" xfId="0" applyFont="1" applyFill="1" applyAlignment="1">
      <alignment horizontal="left"/>
    </xf>
    <xf numFmtId="0" fontId="0" fillId="0" borderId="0" xfId="0" applyFont="1" applyFill="1"/>
    <xf numFmtId="0" fontId="4" fillId="0" borderId="0" xfId="0" applyFont="1" applyFill="1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right"/>
    </xf>
    <xf numFmtId="0" fontId="1" fillId="9" borderId="0" xfId="0" applyFont="1" applyFill="1"/>
    <xf numFmtId="0" fontId="5" fillId="10" borderId="0" xfId="0" applyFont="1" applyFill="1"/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EE25-0178-5041-B1DE-237898240817}">
  <dimension ref="A1:N513"/>
  <sheetViews>
    <sheetView tabSelected="1" zoomScale="90" zoomScaleNormal="90" workbookViewId="0">
      <selection activeCell="G395" sqref="G395:H395"/>
    </sheetView>
  </sheetViews>
  <sheetFormatPr baseColWidth="10" defaultRowHeight="15.75" x14ac:dyDescent="0.25"/>
  <cols>
    <col min="1" max="1" width="55.875" customWidth="1"/>
    <col min="2" max="2" width="8.875" customWidth="1"/>
    <col min="3" max="3" width="48.5" customWidth="1"/>
    <col min="5" max="5" width="49.125" customWidth="1"/>
    <col min="7" max="7" width="53" customWidth="1"/>
    <col min="9" max="9" width="53" customWidth="1"/>
  </cols>
  <sheetData>
    <row r="1" spans="1:14" ht="15.75" customHeight="1" x14ac:dyDescent="0.35">
      <c r="A1" s="1" t="s">
        <v>3</v>
      </c>
      <c r="B1" s="1"/>
      <c r="C1" s="1" t="s">
        <v>6</v>
      </c>
      <c r="D1" s="2"/>
      <c r="E1" s="1" t="s">
        <v>0</v>
      </c>
      <c r="F1" s="2"/>
      <c r="G1" s="1" t="s">
        <v>1</v>
      </c>
      <c r="H1" s="2"/>
      <c r="I1" s="1" t="s">
        <v>2</v>
      </c>
      <c r="J1" s="1"/>
    </row>
    <row r="2" spans="1:14" x14ac:dyDescent="0.25">
      <c r="A2" s="4" t="s">
        <v>365</v>
      </c>
      <c r="B2" s="5"/>
    </row>
    <row r="3" spans="1:14" x14ac:dyDescent="0.25">
      <c r="A3" s="3" t="s">
        <v>4</v>
      </c>
      <c r="B3" s="3">
        <v>823000</v>
      </c>
      <c r="M3" s="24" t="s">
        <v>357</v>
      </c>
      <c r="N3" s="24"/>
    </row>
    <row r="4" spans="1:14" x14ac:dyDescent="0.25">
      <c r="A4" s="3" t="s">
        <v>5</v>
      </c>
      <c r="B4" s="3">
        <v>720</v>
      </c>
      <c r="M4" s="24"/>
      <c r="N4" s="24"/>
    </row>
    <row r="5" spans="1:14" x14ac:dyDescent="0.25">
      <c r="A5" s="6" t="s">
        <v>7</v>
      </c>
      <c r="B5" s="7">
        <f>SUM(B3:B4)</f>
        <v>823720</v>
      </c>
    </row>
    <row r="6" spans="1:14" s="15" customFormat="1" x14ac:dyDescent="0.25"/>
    <row r="7" spans="1:14" x14ac:dyDescent="0.25">
      <c r="C7" s="4" t="s">
        <v>8</v>
      </c>
      <c r="D7" s="4"/>
    </row>
    <row r="8" spans="1:14" x14ac:dyDescent="0.25">
      <c r="C8" s="3" t="s">
        <v>9</v>
      </c>
      <c r="D8" s="3">
        <v>90500</v>
      </c>
    </row>
    <row r="9" spans="1:14" x14ac:dyDescent="0.25">
      <c r="C9" s="3" t="s">
        <v>10</v>
      </c>
      <c r="D9" s="3">
        <v>9900</v>
      </c>
    </row>
    <row r="10" spans="1:14" x14ac:dyDescent="0.25">
      <c r="C10" s="3" t="s">
        <v>11</v>
      </c>
      <c r="D10" s="3">
        <v>9900</v>
      </c>
    </row>
    <row r="11" spans="1:14" x14ac:dyDescent="0.25">
      <c r="C11" s="3" t="s">
        <v>12</v>
      </c>
      <c r="D11" s="3">
        <v>3600</v>
      </c>
    </row>
    <row r="12" spans="1:14" x14ac:dyDescent="0.25">
      <c r="C12" t="s">
        <v>13</v>
      </c>
      <c r="D12">
        <v>3600</v>
      </c>
    </row>
    <row r="13" spans="1:14" x14ac:dyDescent="0.25">
      <c r="C13" t="s">
        <v>14</v>
      </c>
      <c r="D13">
        <v>880</v>
      </c>
    </row>
    <row r="14" spans="1:14" x14ac:dyDescent="0.25">
      <c r="C14" s="3" t="s">
        <v>15</v>
      </c>
      <c r="D14" s="3">
        <v>720</v>
      </c>
    </row>
    <row r="15" spans="1:14" x14ac:dyDescent="0.25">
      <c r="C15" t="s">
        <v>16</v>
      </c>
      <c r="D15">
        <v>590</v>
      </c>
    </row>
    <row r="16" spans="1:14" x14ac:dyDescent="0.25">
      <c r="C16" t="s">
        <v>17</v>
      </c>
      <c r="D16">
        <v>590</v>
      </c>
    </row>
    <row r="17" spans="3:8" x14ac:dyDescent="0.25">
      <c r="C17" s="3" t="s">
        <v>18</v>
      </c>
      <c r="D17" s="3">
        <v>90</v>
      </c>
    </row>
    <row r="18" spans="3:8" x14ac:dyDescent="0.25">
      <c r="C18" s="6" t="s">
        <v>7</v>
      </c>
      <c r="D18" s="7">
        <f>SUM(D7:D17)</f>
        <v>120370</v>
      </c>
    </row>
    <row r="20" spans="3:8" x14ac:dyDescent="0.25">
      <c r="E20" s="4" t="s">
        <v>19</v>
      </c>
      <c r="F20" s="4"/>
    </row>
    <row r="21" spans="3:8" x14ac:dyDescent="0.25">
      <c r="E21" s="3" t="s">
        <v>20</v>
      </c>
      <c r="F21" s="3">
        <v>33100</v>
      </c>
    </row>
    <row r="22" spans="3:8" x14ac:dyDescent="0.25">
      <c r="E22" s="3" t="s">
        <v>21</v>
      </c>
      <c r="F22" s="3">
        <v>390</v>
      </c>
    </row>
    <row r="23" spans="3:8" x14ac:dyDescent="0.25">
      <c r="E23" s="3" t="s">
        <v>22</v>
      </c>
      <c r="F23" s="3">
        <v>480</v>
      </c>
    </row>
    <row r="24" spans="3:8" x14ac:dyDescent="0.25">
      <c r="E24" s="3" t="s">
        <v>23</v>
      </c>
      <c r="F24" s="3">
        <v>1000</v>
      </c>
    </row>
    <row r="25" spans="3:8" x14ac:dyDescent="0.25">
      <c r="E25" s="3" t="s">
        <v>24</v>
      </c>
      <c r="F25" s="3">
        <v>720</v>
      </c>
    </row>
    <row r="26" spans="3:8" x14ac:dyDescent="0.25">
      <c r="E26" s="3" t="s">
        <v>25</v>
      </c>
      <c r="F26" s="3">
        <v>90</v>
      </c>
    </row>
    <row r="27" spans="3:8" x14ac:dyDescent="0.25">
      <c r="E27" t="s">
        <v>26</v>
      </c>
      <c r="F27">
        <v>50</v>
      </c>
    </row>
    <row r="28" spans="3:8" x14ac:dyDescent="0.25">
      <c r="E28" s="6" t="s">
        <v>7</v>
      </c>
      <c r="F28" s="7">
        <f>SUM(F21:F27)</f>
        <v>35830</v>
      </c>
    </row>
    <row r="30" spans="3:8" x14ac:dyDescent="0.25">
      <c r="G30" s="8" t="s">
        <v>27</v>
      </c>
      <c r="H30" s="8" t="s">
        <v>28</v>
      </c>
    </row>
    <row r="31" spans="3:8" x14ac:dyDescent="0.25">
      <c r="G31" s="3" t="s">
        <v>29</v>
      </c>
      <c r="H31" s="3">
        <v>6600</v>
      </c>
    </row>
    <row r="32" spans="3:8" x14ac:dyDescent="0.25">
      <c r="G32" s="3" t="s">
        <v>30</v>
      </c>
      <c r="H32" s="3">
        <v>880</v>
      </c>
    </row>
    <row r="33" spans="7:10" x14ac:dyDescent="0.25">
      <c r="G33" s="3" t="s">
        <v>31</v>
      </c>
      <c r="H33" s="3">
        <v>720</v>
      </c>
    </row>
    <row r="34" spans="7:10" x14ac:dyDescent="0.25">
      <c r="G34" s="3" t="s">
        <v>32</v>
      </c>
      <c r="H34" s="3">
        <v>480</v>
      </c>
    </row>
    <row r="35" spans="7:10" x14ac:dyDescent="0.25">
      <c r="G35" s="3" t="s">
        <v>33</v>
      </c>
      <c r="H35" s="3">
        <v>390</v>
      </c>
    </row>
    <row r="36" spans="7:10" x14ac:dyDescent="0.25">
      <c r="G36" s="3" t="s">
        <v>34</v>
      </c>
      <c r="H36" s="3">
        <v>320</v>
      </c>
    </row>
    <row r="37" spans="7:10" x14ac:dyDescent="0.25">
      <c r="G37" s="6" t="s">
        <v>7</v>
      </c>
      <c r="H37" s="7">
        <f>SUM(H31:H36)</f>
        <v>9390</v>
      </c>
    </row>
    <row r="38" spans="7:10" x14ac:dyDescent="0.25">
      <c r="G38" s="20"/>
      <c r="H38" s="12"/>
    </row>
    <row r="39" spans="7:10" x14ac:dyDescent="0.25">
      <c r="G39" s="20"/>
      <c r="H39" s="12"/>
      <c r="I39" s="21" t="s">
        <v>35</v>
      </c>
      <c r="J39" s="21"/>
    </row>
    <row r="40" spans="7:10" x14ac:dyDescent="0.25">
      <c r="G40" s="20"/>
      <c r="H40" s="12"/>
      <c r="I40" t="s">
        <v>37</v>
      </c>
      <c r="J40">
        <v>90</v>
      </c>
    </row>
    <row r="41" spans="7:10" x14ac:dyDescent="0.25">
      <c r="G41" s="20"/>
      <c r="H41" s="12"/>
      <c r="I41" t="s">
        <v>38</v>
      </c>
      <c r="J41">
        <v>30</v>
      </c>
    </row>
    <row r="42" spans="7:10" x14ac:dyDescent="0.25">
      <c r="G42" s="20"/>
      <c r="H42" s="12"/>
      <c r="I42" t="s">
        <v>39</v>
      </c>
      <c r="J42">
        <v>30</v>
      </c>
    </row>
    <row r="43" spans="7:10" x14ac:dyDescent="0.25">
      <c r="G43" s="20"/>
      <c r="H43" s="12"/>
      <c r="I43" t="s">
        <v>40</v>
      </c>
      <c r="J43">
        <v>10</v>
      </c>
    </row>
    <row r="44" spans="7:10" x14ac:dyDescent="0.25">
      <c r="G44" s="20"/>
      <c r="H44" s="12"/>
      <c r="I44" t="s">
        <v>41</v>
      </c>
      <c r="J44">
        <v>10</v>
      </c>
    </row>
    <row r="45" spans="7:10" x14ac:dyDescent="0.25">
      <c r="G45" s="20"/>
      <c r="H45" s="12"/>
      <c r="I45" s="6" t="s">
        <v>7</v>
      </c>
      <c r="J45" s="7">
        <f>SUM(J39:J44)</f>
        <v>170</v>
      </c>
    </row>
    <row r="46" spans="7:10" x14ac:dyDescent="0.25">
      <c r="G46" s="20"/>
      <c r="H46" s="12"/>
    </row>
    <row r="47" spans="7:10" x14ac:dyDescent="0.25">
      <c r="G47" s="20"/>
      <c r="H47" s="12"/>
      <c r="I47" s="9" t="s">
        <v>352</v>
      </c>
      <c r="J47" s="9" t="s">
        <v>137</v>
      </c>
    </row>
    <row r="48" spans="7:10" x14ac:dyDescent="0.25">
      <c r="G48" s="20"/>
      <c r="H48" s="12"/>
      <c r="I48" t="s">
        <v>42</v>
      </c>
      <c r="J48">
        <v>90</v>
      </c>
    </row>
    <row r="49" spans="7:10" x14ac:dyDescent="0.25">
      <c r="G49" s="20"/>
      <c r="H49" s="12"/>
      <c r="I49" s="6" t="s">
        <v>7</v>
      </c>
      <c r="J49" s="7">
        <f>SUM(J48)</f>
        <v>90</v>
      </c>
    </row>
    <row r="51" spans="7:10" x14ac:dyDescent="0.25">
      <c r="G51" s="8" t="s">
        <v>43</v>
      </c>
      <c r="H51" s="8" t="s">
        <v>28</v>
      </c>
    </row>
    <row r="52" spans="7:10" x14ac:dyDescent="0.25">
      <c r="G52" t="s">
        <v>44</v>
      </c>
      <c r="H52">
        <v>3600</v>
      </c>
    </row>
    <row r="53" spans="7:10" x14ac:dyDescent="0.25">
      <c r="G53" t="s">
        <v>45</v>
      </c>
      <c r="H53">
        <v>590</v>
      </c>
    </row>
    <row r="54" spans="7:10" x14ac:dyDescent="0.25">
      <c r="G54" t="s">
        <v>46</v>
      </c>
      <c r="H54">
        <v>390</v>
      </c>
    </row>
    <row r="55" spans="7:10" x14ac:dyDescent="0.25">
      <c r="G55" t="s">
        <v>47</v>
      </c>
      <c r="H55">
        <v>140</v>
      </c>
    </row>
    <row r="57" spans="7:10" x14ac:dyDescent="0.25">
      <c r="I57" s="9" t="s">
        <v>353</v>
      </c>
      <c r="J57" s="9" t="s">
        <v>137</v>
      </c>
    </row>
    <row r="58" spans="7:10" x14ac:dyDescent="0.25">
      <c r="I58" t="s">
        <v>56</v>
      </c>
      <c r="J58">
        <v>10</v>
      </c>
    </row>
    <row r="59" spans="7:10" x14ac:dyDescent="0.25">
      <c r="I59" s="6" t="s">
        <v>7</v>
      </c>
      <c r="J59" s="7">
        <f>SUM(J58:J58)</f>
        <v>10</v>
      </c>
    </row>
    <row r="60" spans="7:10" s="19" customFormat="1" x14ac:dyDescent="0.25">
      <c r="I60" s="20"/>
      <c r="J60" s="12"/>
    </row>
    <row r="61" spans="7:10" x14ac:dyDescent="0.25">
      <c r="I61" s="9" t="s">
        <v>354</v>
      </c>
      <c r="J61" s="9" t="s">
        <v>137</v>
      </c>
    </row>
    <row r="62" spans="7:10" x14ac:dyDescent="0.25">
      <c r="I62" t="s">
        <v>55</v>
      </c>
      <c r="J62">
        <v>70</v>
      </c>
    </row>
    <row r="63" spans="7:10" x14ac:dyDescent="0.25">
      <c r="I63" s="6" t="s">
        <v>7</v>
      </c>
      <c r="J63" s="7">
        <f>SUM(J62:J62)</f>
        <v>70</v>
      </c>
    </row>
    <row r="65" spans="7:10" x14ac:dyDescent="0.25">
      <c r="I65" s="21" t="s">
        <v>54</v>
      </c>
      <c r="J65" s="21"/>
    </row>
    <row r="66" spans="7:10" x14ac:dyDescent="0.25">
      <c r="I66" t="s">
        <v>48</v>
      </c>
      <c r="J66">
        <v>10</v>
      </c>
    </row>
    <row r="67" spans="7:10" x14ac:dyDescent="0.25">
      <c r="I67" t="s">
        <v>49</v>
      </c>
      <c r="J67">
        <v>10</v>
      </c>
    </row>
    <row r="68" spans="7:10" x14ac:dyDescent="0.25">
      <c r="I68" t="s">
        <v>50</v>
      </c>
      <c r="J68">
        <v>10</v>
      </c>
    </row>
    <row r="69" spans="7:10" x14ac:dyDescent="0.25">
      <c r="I69" t="s">
        <v>51</v>
      </c>
      <c r="J69">
        <v>10</v>
      </c>
    </row>
    <row r="70" spans="7:10" x14ac:dyDescent="0.25">
      <c r="I70" t="s">
        <v>52</v>
      </c>
      <c r="J70">
        <v>10</v>
      </c>
    </row>
    <row r="71" spans="7:10" x14ac:dyDescent="0.25">
      <c r="I71" t="s">
        <v>53</v>
      </c>
      <c r="J71">
        <v>10</v>
      </c>
    </row>
    <row r="72" spans="7:10" x14ac:dyDescent="0.25">
      <c r="I72" s="6" t="s">
        <v>7</v>
      </c>
      <c r="J72" s="7">
        <f>SUM(J66:J71)</f>
        <v>60</v>
      </c>
    </row>
    <row r="73" spans="7:10" x14ac:dyDescent="0.25">
      <c r="G73" s="20"/>
      <c r="H73" s="12"/>
    </row>
    <row r="74" spans="7:10" x14ac:dyDescent="0.25">
      <c r="G74" s="9" t="s">
        <v>319</v>
      </c>
      <c r="H74" s="9" t="s">
        <v>137</v>
      </c>
    </row>
    <row r="75" spans="7:10" x14ac:dyDescent="0.25">
      <c r="G75" t="s">
        <v>320</v>
      </c>
      <c r="H75">
        <v>140</v>
      </c>
    </row>
    <row r="76" spans="7:10" x14ac:dyDescent="0.25">
      <c r="G76" t="s">
        <v>321</v>
      </c>
      <c r="H76">
        <v>50</v>
      </c>
    </row>
    <row r="77" spans="7:10" x14ac:dyDescent="0.25">
      <c r="G77" s="6" t="s">
        <v>7</v>
      </c>
      <c r="H77" s="7">
        <f>SUM(H74:H75)</f>
        <v>140</v>
      </c>
    </row>
    <row r="79" spans="7:10" x14ac:dyDescent="0.25">
      <c r="G79" s="9" t="s">
        <v>342</v>
      </c>
      <c r="H79" s="9" t="s">
        <v>137</v>
      </c>
    </row>
    <row r="80" spans="7:10" x14ac:dyDescent="0.25">
      <c r="G80" t="s">
        <v>343</v>
      </c>
      <c r="H80">
        <v>40</v>
      </c>
    </row>
    <row r="81" spans="7:8" x14ac:dyDescent="0.25">
      <c r="G81" s="6" t="s">
        <v>7</v>
      </c>
      <c r="H81" s="7">
        <f>SUM(H80)</f>
        <v>40</v>
      </c>
    </row>
    <row r="83" spans="7:8" x14ac:dyDescent="0.25">
      <c r="G83" s="9" t="s">
        <v>345</v>
      </c>
      <c r="H83" s="9" t="s">
        <v>137</v>
      </c>
    </row>
    <row r="84" spans="7:8" x14ac:dyDescent="0.25">
      <c r="G84" t="s">
        <v>344</v>
      </c>
      <c r="H84">
        <v>20</v>
      </c>
    </row>
    <row r="85" spans="7:8" x14ac:dyDescent="0.25">
      <c r="G85" s="6" t="s">
        <v>7</v>
      </c>
      <c r="H85" s="7">
        <f>SUM(H84)</f>
        <v>20</v>
      </c>
    </row>
    <row r="86" spans="7:8" x14ac:dyDescent="0.25">
      <c r="G86" s="20"/>
      <c r="H86" s="12"/>
    </row>
    <row r="87" spans="7:8" x14ac:dyDescent="0.25">
      <c r="G87" s="9" t="s">
        <v>346</v>
      </c>
      <c r="H87" s="9" t="s">
        <v>137</v>
      </c>
    </row>
    <row r="88" spans="7:8" x14ac:dyDescent="0.25">
      <c r="G88" t="s">
        <v>347</v>
      </c>
      <c r="H88">
        <v>10</v>
      </c>
    </row>
    <row r="89" spans="7:8" x14ac:dyDescent="0.25">
      <c r="G89" s="6" t="s">
        <v>7</v>
      </c>
      <c r="H89" s="7">
        <f>SUM(H88)</f>
        <v>10</v>
      </c>
    </row>
    <row r="90" spans="7:8" x14ac:dyDescent="0.25">
      <c r="G90" s="20"/>
      <c r="H90" s="12"/>
    </row>
    <row r="91" spans="7:8" x14ac:dyDescent="0.25">
      <c r="G91" s="9" t="s">
        <v>348</v>
      </c>
      <c r="H91" s="9" t="s">
        <v>137</v>
      </c>
    </row>
    <row r="92" spans="7:8" x14ac:dyDescent="0.25">
      <c r="G92" t="s">
        <v>349</v>
      </c>
      <c r="H92">
        <v>10</v>
      </c>
    </row>
    <row r="93" spans="7:8" x14ac:dyDescent="0.25">
      <c r="G93" s="6" t="s">
        <v>7</v>
      </c>
      <c r="H93" s="7">
        <f>SUM(H92)</f>
        <v>10</v>
      </c>
    </row>
    <row r="94" spans="7:8" x14ac:dyDescent="0.25">
      <c r="G94" s="20"/>
      <c r="H94" s="12"/>
    </row>
    <row r="95" spans="7:8" x14ac:dyDescent="0.25">
      <c r="G95" s="9" t="s">
        <v>348</v>
      </c>
      <c r="H95" s="9" t="s">
        <v>137</v>
      </c>
    </row>
    <row r="96" spans="7:8" x14ac:dyDescent="0.25">
      <c r="G96" t="s">
        <v>349</v>
      </c>
      <c r="H96">
        <v>10</v>
      </c>
    </row>
    <row r="97" spans="5:8" x14ac:dyDescent="0.25">
      <c r="G97" s="6" t="s">
        <v>7</v>
      </c>
      <c r="H97" s="7">
        <f>SUM(H96)</f>
        <v>10</v>
      </c>
    </row>
    <row r="98" spans="5:8" x14ac:dyDescent="0.25">
      <c r="G98" s="20"/>
      <c r="H98" s="12"/>
    </row>
    <row r="99" spans="5:8" x14ac:dyDescent="0.25">
      <c r="G99" s="9" t="s">
        <v>350</v>
      </c>
      <c r="H99" s="9" t="s">
        <v>137</v>
      </c>
    </row>
    <row r="100" spans="5:8" x14ac:dyDescent="0.25">
      <c r="G100" t="s">
        <v>351</v>
      </c>
      <c r="H100">
        <v>30</v>
      </c>
    </row>
    <row r="101" spans="5:8" x14ac:dyDescent="0.25">
      <c r="G101" s="6" t="s">
        <v>7</v>
      </c>
      <c r="H101" s="7">
        <f>SUM(H100)</f>
        <v>30</v>
      </c>
    </row>
    <row r="103" spans="5:8" x14ac:dyDescent="0.25">
      <c r="E103" s="4" t="s">
        <v>57</v>
      </c>
      <c r="F103" s="4"/>
    </row>
    <row r="104" spans="5:8" x14ac:dyDescent="0.25">
      <c r="E104" s="10" t="s">
        <v>58</v>
      </c>
      <c r="F104">
        <v>40500</v>
      </c>
    </row>
    <row r="105" spans="5:8" x14ac:dyDescent="0.25">
      <c r="E105" s="10" t="s">
        <v>61</v>
      </c>
      <c r="F105">
        <v>1600</v>
      </c>
    </row>
    <row r="106" spans="5:8" x14ac:dyDescent="0.25">
      <c r="E106" s="10" t="s">
        <v>62</v>
      </c>
      <c r="F106">
        <v>590</v>
      </c>
    </row>
    <row r="107" spans="5:8" x14ac:dyDescent="0.25">
      <c r="E107" s="10" t="s">
        <v>63</v>
      </c>
      <c r="F107">
        <v>590</v>
      </c>
    </row>
    <row r="108" spans="5:8" x14ac:dyDescent="0.25">
      <c r="E108" s="10" t="s">
        <v>64</v>
      </c>
      <c r="F108">
        <v>390</v>
      </c>
    </row>
    <row r="109" spans="5:8" x14ac:dyDescent="0.25">
      <c r="E109" s="10" t="s">
        <v>69</v>
      </c>
      <c r="F109">
        <v>590</v>
      </c>
    </row>
    <row r="110" spans="5:8" x14ac:dyDescent="0.25">
      <c r="E110" s="11" t="s">
        <v>7</v>
      </c>
      <c r="F110" s="7">
        <f>SUM(F104:F109)</f>
        <v>44260</v>
      </c>
    </row>
    <row r="111" spans="5:8" x14ac:dyDescent="0.25">
      <c r="E111" s="13"/>
      <c r="F111" s="12"/>
    </row>
    <row r="112" spans="5:8" x14ac:dyDescent="0.25">
      <c r="E112" s="13"/>
      <c r="F112" s="12"/>
      <c r="G112" s="9" t="s">
        <v>322</v>
      </c>
      <c r="H112" s="9" t="s">
        <v>137</v>
      </c>
    </row>
    <row r="113" spans="5:8" s="19" customFormat="1" x14ac:dyDescent="0.25">
      <c r="E113" s="13"/>
      <c r="F113" s="12"/>
      <c r="G113" s="10" t="s">
        <v>60</v>
      </c>
      <c r="H113">
        <v>6600</v>
      </c>
    </row>
    <row r="114" spans="5:8" s="19" customFormat="1" x14ac:dyDescent="0.25">
      <c r="E114" s="13"/>
      <c r="F114" s="12"/>
      <c r="G114" s="11" t="s">
        <v>7</v>
      </c>
      <c r="H114" s="7">
        <f>SUM(H109:H113)</f>
        <v>6600</v>
      </c>
    </row>
    <row r="115" spans="5:8" x14ac:dyDescent="0.25">
      <c r="E115" s="13"/>
      <c r="F115" s="12"/>
    </row>
    <row r="116" spans="5:8" x14ac:dyDescent="0.25">
      <c r="E116" s="13"/>
      <c r="F116" s="12"/>
      <c r="G116" s="9" t="s">
        <v>323</v>
      </c>
      <c r="H116" s="9" t="s">
        <v>137</v>
      </c>
    </row>
    <row r="117" spans="5:8" x14ac:dyDescent="0.25">
      <c r="E117" s="13"/>
      <c r="F117" s="12"/>
      <c r="G117" s="10" t="s">
        <v>59</v>
      </c>
      <c r="H117">
        <v>6600</v>
      </c>
    </row>
    <row r="118" spans="5:8" x14ac:dyDescent="0.25">
      <c r="E118" s="13"/>
      <c r="F118" s="12"/>
      <c r="G118" s="10" t="s">
        <v>68</v>
      </c>
      <c r="H118">
        <v>590</v>
      </c>
    </row>
    <row r="119" spans="5:8" x14ac:dyDescent="0.25">
      <c r="G119" s="11" t="s">
        <v>7</v>
      </c>
      <c r="H119" s="7">
        <f>SUM(H117:H118)</f>
        <v>7190</v>
      </c>
    </row>
    <row r="120" spans="5:8" x14ac:dyDescent="0.25">
      <c r="G120" s="13"/>
      <c r="H120" s="12"/>
    </row>
    <row r="121" spans="5:8" x14ac:dyDescent="0.25">
      <c r="G121" s="9" t="s">
        <v>335</v>
      </c>
      <c r="H121" s="9" t="s">
        <v>137</v>
      </c>
    </row>
    <row r="122" spans="5:8" x14ac:dyDescent="0.25">
      <c r="G122" s="10" t="s">
        <v>65</v>
      </c>
      <c r="H122">
        <v>480</v>
      </c>
    </row>
    <row r="123" spans="5:8" x14ac:dyDescent="0.25">
      <c r="G123" s="11" t="s">
        <v>7</v>
      </c>
      <c r="H123" s="7">
        <f>SUM(H122:H122)</f>
        <v>480</v>
      </c>
    </row>
    <row r="124" spans="5:8" x14ac:dyDescent="0.25">
      <c r="G124" s="13"/>
      <c r="H124" s="12"/>
    </row>
    <row r="125" spans="5:8" x14ac:dyDescent="0.25">
      <c r="G125" s="9" t="s">
        <v>336</v>
      </c>
      <c r="H125" s="9" t="s">
        <v>137</v>
      </c>
    </row>
    <row r="126" spans="5:8" x14ac:dyDescent="0.25">
      <c r="G126" s="10" t="s">
        <v>66</v>
      </c>
      <c r="H126">
        <v>480</v>
      </c>
    </row>
    <row r="127" spans="5:8" x14ac:dyDescent="0.25">
      <c r="G127" s="10" t="s">
        <v>74</v>
      </c>
      <c r="H127">
        <v>110</v>
      </c>
    </row>
    <row r="128" spans="5:8" x14ac:dyDescent="0.25">
      <c r="G128" s="11" t="s">
        <v>7</v>
      </c>
      <c r="H128" s="7">
        <f>SUM(H127:H127)</f>
        <v>110</v>
      </c>
    </row>
    <row r="129" spans="7:8" x14ac:dyDescent="0.25">
      <c r="G129" s="13"/>
      <c r="H129" s="12"/>
    </row>
    <row r="130" spans="7:8" x14ac:dyDescent="0.25">
      <c r="G130" s="9" t="s">
        <v>337</v>
      </c>
      <c r="H130" s="9" t="s">
        <v>137</v>
      </c>
    </row>
    <row r="131" spans="7:8" x14ac:dyDescent="0.25">
      <c r="G131" s="10" t="s">
        <v>67</v>
      </c>
      <c r="H131">
        <v>260</v>
      </c>
    </row>
    <row r="132" spans="7:8" x14ac:dyDescent="0.25">
      <c r="G132" s="11" t="s">
        <v>7</v>
      </c>
      <c r="H132" s="7">
        <f>SUM(H131:H131)</f>
        <v>260</v>
      </c>
    </row>
    <row r="133" spans="7:8" x14ac:dyDescent="0.25">
      <c r="G133" s="13"/>
      <c r="H133" s="12"/>
    </row>
    <row r="134" spans="7:8" x14ac:dyDescent="0.25">
      <c r="G134" s="9" t="s">
        <v>70</v>
      </c>
      <c r="H134" s="9" t="s">
        <v>137</v>
      </c>
    </row>
    <row r="135" spans="7:8" x14ac:dyDescent="0.25">
      <c r="G135" s="10" t="s">
        <v>71</v>
      </c>
      <c r="H135">
        <v>30</v>
      </c>
    </row>
    <row r="136" spans="7:8" x14ac:dyDescent="0.25">
      <c r="G136" s="10" t="s">
        <v>72</v>
      </c>
      <c r="H136">
        <v>30</v>
      </c>
    </row>
    <row r="137" spans="7:8" x14ac:dyDescent="0.25">
      <c r="G137" s="10" t="s">
        <v>73</v>
      </c>
      <c r="H137">
        <v>90</v>
      </c>
    </row>
    <row r="138" spans="7:8" x14ac:dyDescent="0.25">
      <c r="G138" s="10" t="s">
        <v>71</v>
      </c>
      <c r="H138">
        <v>30</v>
      </c>
    </row>
    <row r="139" spans="7:8" x14ac:dyDescent="0.25">
      <c r="G139" s="10" t="s">
        <v>72</v>
      </c>
      <c r="H139">
        <v>30</v>
      </c>
    </row>
    <row r="140" spans="7:8" x14ac:dyDescent="0.25">
      <c r="G140" s="11" t="s">
        <v>7</v>
      </c>
      <c r="H140" s="7">
        <f>SUM(H135:H139)</f>
        <v>210</v>
      </c>
    </row>
    <row r="142" spans="7:8" x14ac:dyDescent="0.25">
      <c r="G142" s="9" t="s">
        <v>338</v>
      </c>
      <c r="H142" s="9" t="s">
        <v>137</v>
      </c>
    </row>
    <row r="143" spans="7:8" x14ac:dyDescent="0.25">
      <c r="G143" s="10" t="s">
        <v>77</v>
      </c>
      <c r="H143">
        <v>210</v>
      </c>
    </row>
    <row r="144" spans="7:8" x14ac:dyDescent="0.25">
      <c r="G144" s="11" t="s">
        <v>7</v>
      </c>
      <c r="H144" s="7">
        <f>SUM(H143)</f>
        <v>210</v>
      </c>
    </row>
    <row r="145" spans="5:8" x14ac:dyDescent="0.25">
      <c r="G145" s="13"/>
      <c r="H145" s="12"/>
    </row>
    <row r="146" spans="5:8" x14ac:dyDescent="0.25">
      <c r="G146" s="9" t="s">
        <v>339</v>
      </c>
      <c r="H146" s="9" t="s">
        <v>137</v>
      </c>
    </row>
    <row r="147" spans="5:8" x14ac:dyDescent="0.25">
      <c r="G147" s="10" t="s">
        <v>75</v>
      </c>
      <c r="H147">
        <v>480</v>
      </c>
    </row>
    <row r="148" spans="5:8" x14ac:dyDescent="0.25">
      <c r="G148" s="10" t="s">
        <v>76</v>
      </c>
      <c r="H148">
        <v>320</v>
      </c>
    </row>
    <row r="149" spans="5:8" x14ac:dyDescent="0.25">
      <c r="G149" s="11" t="s">
        <v>7</v>
      </c>
      <c r="H149" s="7">
        <f>SUM(H147:H148)</f>
        <v>800</v>
      </c>
    </row>
    <row r="150" spans="5:8" x14ac:dyDescent="0.25">
      <c r="G150" s="10"/>
    </row>
    <row r="151" spans="5:8" x14ac:dyDescent="0.25">
      <c r="G151" s="9" t="s">
        <v>340</v>
      </c>
      <c r="H151" s="9" t="s">
        <v>137</v>
      </c>
    </row>
    <row r="152" spans="5:8" x14ac:dyDescent="0.25">
      <c r="G152" s="10" t="s">
        <v>78</v>
      </c>
      <c r="H152">
        <v>50</v>
      </c>
    </row>
    <row r="153" spans="5:8" x14ac:dyDescent="0.25">
      <c r="G153" s="10" t="s">
        <v>79</v>
      </c>
      <c r="H153">
        <v>10</v>
      </c>
    </row>
    <row r="154" spans="5:8" x14ac:dyDescent="0.25">
      <c r="G154" s="11" t="s">
        <v>7</v>
      </c>
      <c r="H154" s="7">
        <f>SUM(H152:H153)</f>
        <v>60</v>
      </c>
    </row>
    <row r="155" spans="5:8" x14ac:dyDescent="0.25">
      <c r="G155" s="10"/>
    </row>
    <row r="156" spans="5:8" x14ac:dyDescent="0.25">
      <c r="G156" s="9" t="s">
        <v>341</v>
      </c>
      <c r="H156" s="9" t="s">
        <v>137</v>
      </c>
    </row>
    <row r="157" spans="5:8" x14ac:dyDescent="0.25">
      <c r="G157" s="10" t="s">
        <v>80</v>
      </c>
      <c r="H157">
        <v>10</v>
      </c>
    </row>
    <row r="158" spans="5:8" x14ac:dyDescent="0.25">
      <c r="G158" s="11" t="s">
        <v>7</v>
      </c>
      <c r="H158" s="7">
        <f>SUM(H156:H157)</f>
        <v>10</v>
      </c>
    </row>
    <row r="159" spans="5:8" x14ac:dyDescent="0.25">
      <c r="G159" s="10"/>
    </row>
    <row r="160" spans="5:8" x14ac:dyDescent="0.25">
      <c r="E160" s="4" t="s">
        <v>81</v>
      </c>
      <c r="F160" s="4"/>
    </row>
    <row r="161" spans="5:8" x14ac:dyDescent="0.25">
      <c r="E161" t="s">
        <v>82</v>
      </c>
      <c r="F161">
        <v>18100</v>
      </c>
    </row>
    <row r="162" spans="5:8" x14ac:dyDescent="0.25">
      <c r="E162" t="s">
        <v>83</v>
      </c>
      <c r="F162">
        <v>720</v>
      </c>
    </row>
    <row r="163" spans="5:8" x14ac:dyDescent="0.25">
      <c r="E163" t="s">
        <v>84</v>
      </c>
      <c r="F163">
        <v>480</v>
      </c>
    </row>
    <row r="164" spans="5:8" x14ac:dyDescent="0.25">
      <c r="E164" t="s">
        <v>85</v>
      </c>
      <c r="F164">
        <v>390</v>
      </c>
    </row>
    <row r="165" spans="5:8" x14ac:dyDescent="0.25">
      <c r="E165" t="s">
        <v>86</v>
      </c>
      <c r="F165">
        <v>90</v>
      </c>
    </row>
    <row r="166" spans="5:8" x14ac:dyDescent="0.25">
      <c r="E166" s="11" t="s">
        <v>7</v>
      </c>
      <c r="F166" s="7">
        <f>SUM(F160:F165)</f>
        <v>19780</v>
      </c>
    </row>
    <row r="168" spans="5:8" x14ac:dyDescent="0.25">
      <c r="G168" s="8" t="s">
        <v>324</v>
      </c>
      <c r="H168" s="8" t="s">
        <v>28</v>
      </c>
    </row>
    <row r="169" spans="5:8" x14ac:dyDescent="0.25">
      <c r="G169" t="s">
        <v>87</v>
      </c>
      <c r="H169">
        <v>390</v>
      </c>
    </row>
    <row r="170" spans="5:8" x14ac:dyDescent="0.25">
      <c r="G170" t="s">
        <v>88</v>
      </c>
      <c r="H170">
        <v>720</v>
      </c>
    </row>
    <row r="171" spans="5:8" x14ac:dyDescent="0.25">
      <c r="G171" t="s">
        <v>89</v>
      </c>
      <c r="H171">
        <v>70</v>
      </c>
    </row>
    <row r="172" spans="5:8" x14ac:dyDescent="0.25">
      <c r="G172" t="s">
        <v>90</v>
      </c>
      <c r="H172">
        <v>20</v>
      </c>
    </row>
    <row r="173" spans="5:8" x14ac:dyDescent="0.25">
      <c r="G173" t="s">
        <v>91</v>
      </c>
      <c r="H173">
        <v>10</v>
      </c>
    </row>
    <row r="174" spans="5:8" x14ac:dyDescent="0.25">
      <c r="G174" t="s">
        <v>100</v>
      </c>
      <c r="H174">
        <v>260</v>
      </c>
    </row>
    <row r="175" spans="5:8" x14ac:dyDescent="0.25">
      <c r="G175" t="s">
        <v>101</v>
      </c>
      <c r="H175">
        <v>110</v>
      </c>
    </row>
    <row r="176" spans="5:8" x14ac:dyDescent="0.25">
      <c r="G176" t="s">
        <v>102</v>
      </c>
      <c r="H176">
        <v>20</v>
      </c>
    </row>
    <row r="177" spans="5:8" x14ac:dyDescent="0.25">
      <c r="G177" s="11" t="s">
        <v>7</v>
      </c>
      <c r="H177" s="7">
        <f>SUM(H167:H173)</f>
        <v>1210</v>
      </c>
    </row>
    <row r="179" spans="5:8" x14ac:dyDescent="0.25">
      <c r="G179" s="8" t="s">
        <v>325</v>
      </c>
      <c r="H179" s="8" t="s">
        <v>28</v>
      </c>
    </row>
    <row r="180" spans="5:8" x14ac:dyDescent="0.25">
      <c r="G180" t="s">
        <v>92</v>
      </c>
      <c r="H180">
        <v>1900</v>
      </c>
    </row>
    <row r="181" spans="5:8" x14ac:dyDescent="0.25">
      <c r="G181" t="s">
        <v>93</v>
      </c>
      <c r="H181">
        <v>880</v>
      </c>
    </row>
    <row r="182" spans="5:8" x14ac:dyDescent="0.25">
      <c r="G182" t="s">
        <v>94</v>
      </c>
      <c r="H182">
        <v>90</v>
      </c>
    </row>
    <row r="183" spans="5:8" x14ac:dyDescent="0.25">
      <c r="G183" t="s">
        <v>95</v>
      </c>
      <c r="H183">
        <v>50</v>
      </c>
    </row>
    <row r="184" spans="5:8" x14ac:dyDescent="0.25">
      <c r="G184" t="s">
        <v>96</v>
      </c>
      <c r="H184">
        <v>40</v>
      </c>
    </row>
    <row r="185" spans="5:8" x14ac:dyDescent="0.25">
      <c r="G185" t="s">
        <v>97</v>
      </c>
      <c r="H185">
        <v>40</v>
      </c>
    </row>
    <row r="186" spans="5:8" x14ac:dyDescent="0.25">
      <c r="G186" t="s">
        <v>98</v>
      </c>
      <c r="H186">
        <v>480</v>
      </c>
    </row>
    <row r="187" spans="5:8" x14ac:dyDescent="0.25">
      <c r="G187" t="s">
        <v>99</v>
      </c>
      <c r="H187">
        <v>110</v>
      </c>
    </row>
    <row r="188" spans="5:8" x14ac:dyDescent="0.25">
      <c r="G188" s="11" t="s">
        <v>7</v>
      </c>
      <c r="H188" s="7">
        <f>SUM(H180:H187)</f>
        <v>3590</v>
      </c>
    </row>
    <row r="190" spans="5:8" x14ac:dyDescent="0.25">
      <c r="E190" s="4" t="s">
        <v>103</v>
      </c>
      <c r="F190" s="4"/>
    </row>
    <row r="191" spans="5:8" x14ac:dyDescent="0.25">
      <c r="E191" s="10" t="s">
        <v>104</v>
      </c>
      <c r="F191">
        <v>2900</v>
      </c>
    </row>
    <row r="192" spans="5:8" x14ac:dyDescent="0.25">
      <c r="E192" s="10" t="s">
        <v>106</v>
      </c>
      <c r="F192">
        <v>140</v>
      </c>
    </row>
    <row r="193" spans="5:8" x14ac:dyDescent="0.25">
      <c r="E193" s="10" t="s">
        <v>107</v>
      </c>
      <c r="F193">
        <v>30</v>
      </c>
    </row>
    <row r="194" spans="5:8" x14ac:dyDescent="0.25">
      <c r="E194" s="10" t="s">
        <v>108</v>
      </c>
      <c r="F194">
        <v>30</v>
      </c>
    </row>
    <row r="195" spans="5:8" x14ac:dyDescent="0.25">
      <c r="E195" s="11" t="s">
        <v>7</v>
      </c>
      <c r="F195" s="7">
        <f>SUM(F191:F194)</f>
        <v>3100</v>
      </c>
    </row>
    <row r="196" spans="5:8" x14ac:dyDescent="0.25">
      <c r="E196" s="13"/>
      <c r="F196" s="12"/>
    </row>
    <row r="197" spans="5:8" x14ac:dyDescent="0.25">
      <c r="E197" s="13"/>
      <c r="F197" s="12"/>
      <c r="G197" s="9" t="s">
        <v>326</v>
      </c>
      <c r="H197" s="9" t="s">
        <v>137</v>
      </c>
    </row>
    <row r="198" spans="5:8" x14ac:dyDescent="0.25">
      <c r="E198" s="13"/>
      <c r="F198" s="12"/>
      <c r="G198" s="10" t="s">
        <v>105</v>
      </c>
      <c r="H198">
        <v>480</v>
      </c>
    </row>
    <row r="199" spans="5:8" x14ac:dyDescent="0.25">
      <c r="G199" s="11" t="s">
        <v>7</v>
      </c>
      <c r="H199" s="7">
        <f>SUM(H195:H198)</f>
        <v>480</v>
      </c>
    </row>
    <row r="200" spans="5:8" x14ac:dyDescent="0.25">
      <c r="G200" s="13"/>
      <c r="H200" s="12"/>
    </row>
    <row r="201" spans="5:8" x14ac:dyDescent="0.25">
      <c r="E201" s="4" t="s">
        <v>109</v>
      </c>
      <c r="F201" s="4"/>
    </row>
    <row r="202" spans="5:8" x14ac:dyDescent="0.25">
      <c r="E202" t="s">
        <v>110</v>
      </c>
      <c r="F202">
        <v>6600</v>
      </c>
    </row>
    <row r="203" spans="5:8" x14ac:dyDescent="0.25">
      <c r="E203" t="s">
        <v>111</v>
      </c>
      <c r="F203">
        <v>590</v>
      </c>
    </row>
    <row r="204" spans="5:8" x14ac:dyDescent="0.25">
      <c r="E204" t="s">
        <v>112</v>
      </c>
      <c r="F204">
        <v>110</v>
      </c>
    </row>
    <row r="205" spans="5:8" x14ac:dyDescent="0.25">
      <c r="E205" t="s">
        <v>113</v>
      </c>
      <c r="F205">
        <v>40</v>
      </c>
    </row>
    <row r="206" spans="5:8" x14ac:dyDescent="0.25">
      <c r="E206" s="10" t="s">
        <v>114</v>
      </c>
      <c r="F206" s="10">
        <v>90</v>
      </c>
    </row>
    <row r="207" spans="5:8" x14ac:dyDescent="0.25">
      <c r="E207" t="s">
        <v>115</v>
      </c>
      <c r="F207">
        <v>30</v>
      </c>
    </row>
    <row r="208" spans="5:8" x14ac:dyDescent="0.25">
      <c r="E208" s="11" t="s">
        <v>7</v>
      </c>
      <c r="F208" s="7">
        <f>SUM(F202:F207)</f>
        <v>7460</v>
      </c>
    </row>
    <row r="210" spans="5:8" x14ac:dyDescent="0.25">
      <c r="G210" s="9" t="s">
        <v>331</v>
      </c>
      <c r="H210" s="9" t="s">
        <v>137</v>
      </c>
    </row>
    <row r="211" spans="5:8" x14ac:dyDescent="0.25">
      <c r="G211" t="s">
        <v>118</v>
      </c>
      <c r="H211">
        <v>40</v>
      </c>
    </row>
    <row r="212" spans="5:8" x14ac:dyDescent="0.25">
      <c r="G212" s="11" t="s">
        <v>7</v>
      </c>
      <c r="H212" s="7">
        <f>SUM(H211)</f>
        <v>40</v>
      </c>
    </row>
    <row r="213" spans="5:8" x14ac:dyDescent="0.25">
      <c r="G213" s="13"/>
      <c r="H213" s="12"/>
    </row>
    <row r="214" spans="5:8" x14ac:dyDescent="0.25">
      <c r="G214" s="9" t="s">
        <v>332</v>
      </c>
      <c r="H214" s="9" t="s">
        <v>137</v>
      </c>
    </row>
    <row r="215" spans="5:8" x14ac:dyDescent="0.25">
      <c r="G215" t="s">
        <v>117</v>
      </c>
      <c r="H215">
        <v>140</v>
      </c>
    </row>
    <row r="216" spans="5:8" x14ac:dyDescent="0.25">
      <c r="G216" t="s">
        <v>119</v>
      </c>
      <c r="H216">
        <v>10</v>
      </c>
    </row>
    <row r="217" spans="5:8" x14ac:dyDescent="0.25">
      <c r="G217" s="11" t="s">
        <v>7</v>
      </c>
      <c r="H217" s="7">
        <f>SUM(H215:H216)</f>
        <v>150</v>
      </c>
    </row>
    <row r="218" spans="5:8" x14ac:dyDescent="0.25">
      <c r="G218" s="13"/>
      <c r="H218" s="12"/>
    </row>
    <row r="219" spans="5:8" x14ac:dyDescent="0.25">
      <c r="G219" s="9" t="s">
        <v>333</v>
      </c>
      <c r="H219" s="9" t="s">
        <v>137</v>
      </c>
    </row>
    <row r="220" spans="5:8" x14ac:dyDescent="0.25">
      <c r="G220" t="s">
        <v>116</v>
      </c>
      <c r="H220">
        <v>170</v>
      </c>
    </row>
    <row r="221" spans="5:8" x14ac:dyDescent="0.25">
      <c r="G221" t="s">
        <v>120</v>
      </c>
      <c r="H221">
        <v>10</v>
      </c>
    </row>
    <row r="222" spans="5:8" x14ac:dyDescent="0.25">
      <c r="G222" s="11" t="s">
        <v>7</v>
      </c>
      <c r="H222" s="7">
        <f>SUM(H220:H221)</f>
        <v>180</v>
      </c>
    </row>
    <row r="224" spans="5:8" x14ac:dyDescent="0.25">
      <c r="E224" s="4" t="s">
        <v>121</v>
      </c>
      <c r="F224" s="4"/>
    </row>
    <row r="225" spans="5:8" x14ac:dyDescent="0.25">
      <c r="E225" t="s">
        <v>122</v>
      </c>
      <c r="F225">
        <v>12100</v>
      </c>
    </row>
    <row r="226" spans="5:8" x14ac:dyDescent="0.25">
      <c r="E226" t="s">
        <v>124</v>
      </c>
      <c r="F226">
        <v>1000</v>
      </c>
    </row>
    <row r="227" spans="5:8" x14ac:dyDescent="0.25">
      <c r="E227" t="s">
        <v>125</v>
      </c>
      <c r="F227">
        <v>880</v>
      </c>
    </row>
    <row r="228" spans="5:8" x14ac:dyDescent="0.25">
      <c r="E228" t="s">
        <v>126</v>
      </c>
      <c r="F228">
        <v>880</v>
      </c>
    </row>
    <row r="229" spans="5:8" x14ac:dyDescent="0.25">
      <c r="E229" s="11" t="s">
        <v>7</v>
      </c>
      <c r="F229" s="7">
        <f>SUM(F225:F228)</f>
        <v>14860</v>
      </c>
    </row>
    <row r="230" spans="5:8" x14ac:dyDescent="0.25">
      <c r="E230" s="13"/>
      <c r="F230" s="12"/>
    </row>
    <row r="231" spans="5:8" x14ac:dyDescent="0.25">
      <c r="E231" s="13"/>
      <c r="F231" s="12"/>
      <c r="G231" s="4" t="s">
        <v>334</v>
      </c>
      <c r="H231" s="4"/>
    </row>
    <row r="232" spans="5:8" x14ac:dyDescent="0.25">
      <c r="E232" s="13"/>
      <c r="F232" s="12"/>
      <c r="G232" t="s">
        <v>127</v>
      </c>
      <c r="H232">
        <v>320</v>
      </c>
    </row>
    <row r="233" spans="5:8" x14ac:dyDescent="0.25">
      <c r="E233" s="13"/>
      <c r="F233" s="12"/>
      <c r="G233" t="s">
        <v>123</v>
      </c>
      <c r="H233">
        <v>3600</v>
      </c>
    </row>
    <row r="234" spans="5:8" x14ac:dyDescent="0.25">
      <c r="E234" s="13"/>
      <c r="F234" s="12"/>
      <c r="G234" s="11" t="s">
        <v>7</v>
      </c>
      <c r="H234" s="7">
        <f>SUM(H230:H233)</f>
        <v>3920</v>
      </c>
    </row>
    <row r="235" spans="5:8" x14ac:dyDescent="0.25">
      <c r="E235" s="13"/>
      <c r="F235" s="12"/>
    </row>
    <row r="236" spans="5:8" x14ac:dyDescent="0.25">
      <c r="E236" s="16" t="s">
        <v>327</v>
      </c>
      <c r="F236" s="9" t="s">
        <v>137</v>
      </c>
    </row>
    <row r="237" spans="5:8" x14ac:dyDescent="0.25">
      <c r="E237" s="18" t="s">
        <v>329</v>
      </c>
      <c r="F237" s="17">
        <v>880</v>
      </c>
    </row>
    <row r="238" spans="5:8" x14ac:dyDescent="0.25">
      <c r="E238" s="18"/>
      <c r="F238" s="17"/>
    </row>
    <row r="239" spans="5:8" x14ac:dyDescent="0.25">
      <c r="G239" s="14" t="s">
        <v>166</v>
      </c>
      <c r="H239" s="4"/>
    </row>
    <row r="240" spans="5:8" x14ac:dyDescent="0.25">
      <c r="G240" t="s">
        <v>172</v>
      </c>
      <c r="H240">
        <v>720</v>
      </c>
    </row>
    <row r="241" spans="7:8" x14ac:dyDescent="0.25">
      <c r="G241" t="s">
        <v>173</v>
      </c>
      <c r="H241">
        <v>590</v>
      </c>
    </row>
    <row r="242" spans="7:8" x14ac:dyDescent="0.25">
      <c r="G242" t="s">
        <v>174</v>
      </c>
      <c r="H242">
        <v>140</v>
      </c>
    </row>
    <row r="243" spans="7:8" x14ac:dyDescent="0.25">
      <c r="G243" t="s">
        <v>175</v>
      </c>
      <c r="H243">
        <v>110</v>
      </c>
    </row>
    <row r="244" spans="7:8" x14ac:dyDescent="0.25">
      <c r="G244" t="s">
        <v>169</v>
      </c>
      <c r="H244">
        <v>70</v>
      </c>
    </row>
    <row r="245" spans="7:8" x14ac:dyDescent="0.25">
      <c r="G245" t="s">
        <v>176</v>
      </c>
      <c r="H245">
        <v>70</v>
      </c>
    </row>
    <row r="246" spans="7:8" x14ac:dyDescent="0.25">
      <c r="G246" t="s">
        <v>177</v>
      </c>
      <c r="H246">
        <v>20</v>
      </c>
    </row>
    <row r="247" spans="7:8" x14ac:dyDescent="0.25">
      <c r="G247" t="s">
        <v>167</v>
      </c>
      <c r="H247">
        <v>10</v>
      </c>
    </row>
    <row r="248" spans="7:8" x14ac:dyDescent="0.25">
      <c r="G248" t="s">
        <v>168</v>
      </c>
      <c r="H248">
        <v>10</v>
      </c>
    </row>
    <row r="249" spans="7:8" x14ac:dyDescent="0.25">
      <c r="G249" t="s">
        <v>170</v>
      </c>
      <c r="H249">
        <v>10</v>
      </c>
    </row>
    <row r="250" spans="7:8" x14ac:dyDescent="0.25">
      <c r="G250" t="s">
        <v>171</v>
      </c>
      <c r="H250">
        <v>10</v>
      </c>
    </row>
    <row r="251" spans="7:8" x14ac:dyDescent="0.25">
      <c r="G251" t="s">
        <v>178</v>
      </c>
      <c r="H251">
        <v>10</v>
      </c>
    </row>
    <row r="252" spans="7:8" x14ac:dyDescent="0.25">
      <c r="G252" t="s">
        <v>179</v>
      </c>
      <c r="H252">
        <v>10</v>
      </c>
    </row>
    <row r="253" spans="7:8" x14ac:dyDescent="0.25">
      <c r="G253" s="11" t="s">
        <v>7</v>
      </c>
      <c r="H253" s="7">
        <f ca="1">SUM(H240:H256)</f>
        <v>1790</v>
      </c>
    </row>
    <row r="254" spans="7:8" x14ac:dyDescent="0.25">
      <c r="G254" s="13"/>
      <c r="H254" s="12"/>
    </row>
    <row r="255" spans="7:8" x14ac:dyDescent="0.25">
      <c r="G255" s="16" t="s">
        <v>330</v>
      </c>
      <c r="H255" s="9"/>
    </row>
    <row r="256" spans="7:8" x14ac:dyDescent="0.25">
      <c r="G256" t="s">
        <v>180</v>
      </c>
      <c r="H256">
        <v>10</v>
      </c>
    </row>
    <row r="257" spans="3:8" x14ac:dyDescent="0.25">
      <c r="G257" s="11" t="s">
        <v>7</v>
      </c>
      <c r="H257" s="7">
        <f>SUM(H256)</f>
        <v>10</v>
      </c>
    </row>
    <row r="258" spans="3:8" x14ac:dyDescent="0.25">
      <c r="G258" s="13"/>
      <c r="H258" s="12"/>
    </row>
    <row r="259" spans="3:8" s="15" customFormat="1" x14ac:dyDescent="0.25"/>
    <row r="260" spans="3:8" x14ac:dyDescent="0.25">
      <c r="C260" s="4" t="s">
        <v>128</v>
      </c>
      <c r="D260" s="4"/>
    </row>
    <row r="261" spans="3:8" x14ac:dyDescent="0.25">
      <c r="C261" t="s">
        <v>129</v>
      </c>
      <c r="D261">
        <v>201000</v>
      </c>
    </row>
    <row r="262" spans="3:8" x14ac:dyDescent="0.25">
      <c r="C262" t="s">
        <v>130</v>
      </c>
      <c r="D262">
        <v>22200</v>
      </c>
    </row>
    <row r="263" spans="3:8" x14ac:dyDescent="0.25">
      <c r="C263" t="s">
        <v>131</v>
      </c>
      <c r="D263">
        <v>9900</v>
      </c>
    </row>
    <row r="264" spans="3:8" x14ac:dyDescent="0.25">
      <c r="C264" t="s">
        <v>132</v>
      </c>
      <c r="D264">
        <v>5400</v>
      </c>
      <c r="G264" s="13"/>
      <c r="H264" s="12"/>
    </row>
    <row r="265" spans="3:8" x14ac:dyDescent="0.25">
      <c r="C265" t="s">
        <v>133</v>
      </c>
      <c r="D265">
        <v>5400</v>
      </c>
    </row>
    <row r="266" spans="3:8" x14ac:dyDescent="0.25">
      <c r="C266" t="s">
        <v>134</v>
      </c>
      <c r="D266">
        <v>880</v>
      </c>
    </row>
    <row r="267" spans="3:8" x14ac:dyDescent="0.25">
      <c r="C267" t="s">
        <v>135</v>
      </c>
      <c r="D267">
        <v>720</v>
      </c>
    </row>
    <row r="268" spans="3:8" x14ac:dyDescent="0.25">
      <c r="C268" s="11" t="s">
        <v>7</v>
      </c>
      <c r="D268" s="7">
        <f>SUM(D261:D267)</f>
        <v>245500</v>
      </c>
    </row>
    <row r="269" spans="3:8" s="15" customFormat="1" x14ac:dyDescent="0.25"/>
    <row r="270" spans="3:8" x14ac:dyDescent="0.25">
      <c r="C270" s="9" t="s">
        <v>136</v>
      </c>
      <c r="D270" s="9" t="s">
        <v>137</v>
      </c>
    </row>
    <row r="271" spans="3:8" x14ac:dyDescent="0.25">
      <c r="C271" t="s">
        <v>138</v>
      </c>
      <c r="D271" t="s">
        <v>138</v>
      </c>
    </row>
    <row r="273" spans="5:8" x14ac:dyDescent="0.25">
      <c r="E273" s="8" t="s">
        <v>328</v>
      </c>
      <c r="F273" s="8"/>
    </row>
    <row r="274" spans="5:8" x14ac:dyDescent="0.25">
      <c r="E274" t="s">
        <v>139</v>
      </c>
      <c r="F274">
        <v>40500</v>
      </c>
    </row>
    <row r="275" spans="5:8" x14ac:dyDescent="0.25">
      <c r="E275" t="s">
        <v>141</v>
      </c>
      <c r="F275">
        <v>2400</v>
      </c>
    </row>
    <row r="276" spans="5:8" x14ac:dyDescent="0.25">
      <c r="E276" t="s">
        <v>140</v>
      </c>
      <c r="F276">
        <v>590</v>
      </c>
    </row>
    <row r="277" spans="5:8" x14ac:dyDescent="0.25">
      <c r="E277" t="s">
        <v>142</v>
      </c>
      <c r="F277">
        <v>4400</v>
      </c>
    </row>
    <row r="278" spans="5:8" x14ac:dyDescent="0.25">
      <c r="E278" t="s">
        <v>143</v>
      </c>
      <c r="F278">
        <v>390</v>
      </c>
    </row>
    <row r="279" spans="5:8" x14ac:dyDescent="0.25">
      <c r="E279" t="s">
        <v>144</v>
      </c>
      <c r="F279">
        <v>390</v>
      </c>
    </row>
    <row r="280" spans="5:8" x14ac:dyDescent="0.25">
      <c r="E280" t="s">
        <v>145</v>
      </c>
      <c r="F280">
        <v>320</v>
      </c>
    </row>
    <row r="281" spans="5:8" x14ac:dyDescent="0.25">
      <c r="E281" t="s">
        <v>146</v>
      </c>
      <c r="F281">
        <v>260</v>
      </c>
    </row>
    <row r="282" spans="5:8" x14ac:dyDescent="0.25">
      <c r="E282" s="11" t="s">
        <v>7</v>
      </c>
      <c r="F282" s="7">
        <f>SUM(F274:F281)</f>
        <v>49250</v>
      </c>
    </row>
    <row r="284" spans="5:8" x14ac:dyDescent="0.25">
      <c r="E284" s="4" t="s">
        <v>147</v>
      </c>
      <c r="F284" s="4"/>
      <c r="G284" s="23"/>
      <c r="H284" s="23"/>
    </row>
    <row r="285" spans="5:8" x14ac:dyDescent="0.25">
      <c r="E285" t="s">
        <v>148</v>
      </c>
      <c r="F285">
        <v>8100</v>
      </c>
    </row>
    <row r="286" spans="5:8" x14ac:dyDescent="0.25">
      <c r="E286" t="s">
        <v>149</v>
      </c>
      <c r="F286">
        <v>2900</v>
      </c>
    </row>
    <row r="287" spans="5:8" x14ac:dyDescent="0.25">
      <c r="E287" t="s">
        <v>150</v>
      </c>
      <c r="F287">
        <v>2400</v>
      </c>
    </row>
    <row r="288" spans="5:8" x14ac:dyDescent="0.25">
      <c r="E288" t="s">
        <v>151</v>
      </c>
      <c r="F288">
        <v>480</v>
      </c>
    </row>
    <row r="289" spans="5:8" x14ac:dyDescent="0.25">
      <c r="E289" t="s">
        <v>152</v>
      </c>
      <c r="F289">
        <v>320</v>
      </c>
    </row>
    <row r="290" spans="5:8" x14ac:dyDescent="0.25">
      <c r="E290" t="s">
        <v>153</v>
      </c>
      <c r="F290">
        <v>260</v>
      </c>
    </row>
    <row r="291" spans="5:8" x14ac:dyDescent="0.25">
      <c r="E291" t="s">
        <v>154</v>
      </c>
      <c r="F291">
        <v>210</v>
      </c>
    </row>
    <row r="292" spans="5:8" x14ac:dyDescent="0.25">
      <c r="E292" t="s">
        <v>155</v>
      </c>
      <c r="F292">
        <v>110</v>
      </c>
    </row>
    <row r="293" spans="5:8" x14ac:dyDescent="0.25">
      <c r="E293" t="s">
        <v>156</v>
      </c>
      <c r="F293">
        <v>90</v>
      </c>
    </row>
    <row r="294" spans="5:8" x14ac:dyDescent="0.25">
      <c r="E294" t="s">
        <v>157</v>
      </c>
      <c r="F294">
        <v>90</v>
      </c>
    </row>
    <row r="295" spans="5:8" x14ac:dyDescent="0.25">
      <c r="E295" s="11" t="s">
        <v>7</v>
      </c>
      <c r="F295" s="7">
        <f>SUM(F285:F294)</f>
        <v>14960</v>
      </c>
    </row>
    <row r="297" spans="5:8" x14ac:dyDescent="0.25">
      <c r="E297" s="4" t="s">
        <v>158</v>
      </c>
      <c r="F297" s="4"/>
      <c r="G297" s="23"/>
      <c r="H297" s="23"/>
    </row>
    <row r="298" spans="5:8" x14ac:dyDescent="0.25">
      <c r="E298" t="s">
        <v>159</v>
      </c>
      <c r="F298">
        <v>33100</v>
      </c>
    </row>
    <row r="299" spans="5:8" x14ac:dyDescent="0.25">
      <c r="E299" t="s">
        <v>160</v>
      </c>
      <c r="F299">
        <v>8100</v>
      </c>
    </row>
    <row r="300" spans="5:8" x14ac:dyDescent="0.25">
      <c r="E300" t="s">
        <v>161</v>
      </c>
      <c r="F300">
        <v>1900</v>
      </c>
    </row>
    <row r="301" spans="5:8" x14ac:dyDescent="0.25">
      <c r="E301" t="s">
        <v>162</v>
      </c>
      <c r="F301">
        <v>320</v>
      </c>
    </row>
    <row r="302" spans="5:8" x14ac:dyDescent="0.25">
      <c r="E302" t="s">
        <v>163</v>
      </c>
      <c r="F302">
        <v>260</v>
      </c>
    </row>
    <row r="303" spans="5:8" x14ac:dyDescent="0.25">
      <c r="E303" s="11" t="s">
        <v>7</v>
      </c>
      <c r="F303" s="7">
        <f>SUM(F298:F302)</f>
        <v>43680</v>
      </c>
    </row>
    <row r="305" spans="3:8" x14ac:dyDescent="0.25">
      <c r="G305" s="9" t="s">
        <v>355</v>
      </c>
      <c r="H305" s="9" t="s">
        <v>36</v>
      </c>
    </row>
    <row r="306" spans="3:8" x14ac:dyDescent="0.25">
      <c r="G306" t="s">
        <v>164</v>
      </c>
      <c r="H306">
        <v>70</v>
      </c>
    </row>
    <row r="307" spans="3:8" x14ac:dyDescent="0.25">
      <c r="G307" s="11" t="s">
        <v>7</v>
      </c>
      <c r="H307" s="7">
        <f>SUM(H306)</f>
        <v>70</v>
      </c>
    </row>
    <row r="309" spans="3:8" x14ac:dyDescent="0.25">
      <c r="G309" s="9" t="s">
        <v>356</v>
      </c>
      <c r="H309" s="9" t="s">
        <v>36</v>
      </c>
    </row>
    <row r="310" spans="3:8" x14ac:dyDescent="0.25">
      <c r="G310" t="s">
        <v>165</v>
      </c>
      <c r="H310">
        <v>70</v>
      </c>
    </row>
    <row r="311" spans="3:8" x14ac:dyDescent="0.25">
      <c r="G311" s="11" t="s">
        <v>7</v>
      </c>
      <c r="H311" s="7">
        <f>SUM(H310)</f>
        <v>70</v>
      </c>
    </row>
    <row r="313" spans="3:8" s="15" customFormat="1" x14ac:dyDescent="0.25"/>
    <row r="314" spans="3:8" x14ac:dyDescent="0.25">
      <c r="C314" s="4" t="s">
        <v>181</v>
      </c>
      <c r="D314" s="4"/>
    </row>
    <row r="315" spans="3:8" x14ac:dyDescent="0.25">
      <c r="C315" t="s">
        <v>182</v>
      </c>
      <c r="D315">
        <v>90500</v>
      </c>
    </row>
    <row r="316" spans="3:8" x14ac:dyDescent="0.25">
      <c r="C316" t="s">
        <v>183</v>
      </c>
      <c r="D316">
        <v>9900</v>
      </c>
    </row>
    <row r="317" spans="3:8" x14ac:dyDescent="0.25">
      <c r="C317" t="s">
        <v>184</v>
      </c>
      <c r="D317">
        <v>2900</v>
      </c>
    </row>
    <row r="318" spans="3:8" x14ac:dyDescent="0.25">
      <c r="C318" t="s">
        <v>185</v>
      </c>
      <c r="D318">
        <v>880</v>
      </c>
    </row>
    <row r="319" spans="3:8" x14ac:dyDescent="0.25">
      <c r="C319" t="s">
        <v>186</v>
      </c>
      <c r="D319">
        <v>590</v>
      </c>
    </row>
    <row r="320" spans="3:8" x14ac:dyDescent="0.25">
      <c r="C320" t="s">
        <v>187</v>
      </c>
      <c r="D320">
        <v>390</v>
      </c>
    </row>
    <row r="321" spans="3:6" x14ac:dyDescent="0.25">
      <c r="C321" t="s">
        <v>188</v>
      </c>
      <c r="D321">
        <v>390</v>
      </c>
    </row>
    <row r="322" spans="3:6" x14ac:dyDescent="0.25">
      <c r="C322" s="11" t="s">
        <v>7</v>
      </c>
      <c r="D322" s="7">
        <f>SUM(D315:D321)</f>
        <v>105550</v>
      </c>
    </row>
    <row r="324" spans="3:6" x14ac:dyDescent="0.25">
      <c r="E324" s="8" t="s">
        <v>192</v>
      </c>
      <c r="F324" s="8" t="s">
        <v>28</v>
      </c>
    </row>
    <row r="325" spans="3:6" x14ac:dyDescent="0.25">
      <c r="E325" t="s">
        <v>189</v>
      </c>
      <c r="F325">
        <v>1900</v>
      </c>
    </row>
    <row r="326" spans="3:6" x14ac:dyDescent="0.25">
      <c r="E326" t="s">
        <v>190</v>
      </c>
      <c r="F326">
        <v>590</v>
      </c>
    </row>
    <row r="327" spans="3:6" x14ac:dyDescent="0.25">
      <c r="E327" t="s">
        <v>191</v>
      </c>
      <c r="F327">
        <v>110</v>
      </c>
    </row>
    <row r="328" spans="3:6" x14ac:dyDescent="0.25">
      <c r="E328" s="11" t="s">
        <v>7</v>
      </c>
      <c r="F328" s="7">
        <f>SUM(F325:F327)</f>
        <v>2600</v>
      </c>
    </row>
    <row r="330" spans="3:6" x14ac:dyDescent="0.25">
      <c r="E330" s="4" t="s">
        <v>193</v>
      </c>
      <c r="F330" s="4"/>
    </row>
    <row r="331" spans="3:6" x14ac:dyDescent="0.25">
      <c r="E331" t="s">
        <v>194</v>
      </c>
      <c r="F331">
        <v>49500</v>
      </c>
    </row>
    <row r="332" spans="3:6" x14ac:dyDescent="0.25">
      <c r="E332" t="s">
        <v>195</v>
      </c>
      <c r="F332">
        <v>2400</v>
      </c>
    </row>
    <row r="333" spans="3:6" x14ac:dyDescent="0.25">
      <c r="E333" t="s">
        <v>196</v>
      </c>
      <c r="F333">
        <v>880</v>
      </c>
    </row>
    <row r="334" spans="3:6" x14ac:dyDescent="0.25">
      <c r="E334" t="s">
        <v>197</v>
      </c>
      <c r="F334">
        <v>390</v>
      </c>
    </row>
    <row r="335" spans="3:6" x14ac:dyDescent="0.25">
      <c r="E335" t="s">
        <v>198</v>
      </c>
      <c r="F335">
        <v>260</v>
      </c>
    </row>
    <row r="336" spans="3:6" x14ac:dyDescent="0.25">
      <c r="E336" t="s">
        <v>199</v>
      </c>
      <c r="F336">
        <v>260</v>
      </c>
    </row>
    <row r="337" spans="5:10" x14ac:dyDescent="0.25">
      <c r="E337" s="11" t="s">
        <v>7</v>
      </c>
      <c r="F337" s="7">
        <f>SUM(F331:F336)</f>
        <v>53690</v>
      </c>
    </row>
    <row r="339" spans="5:10" x14ac:dyDescent="0.25">
      <c r="G339" s="9" t="s">
        <v>206</v>
      </c>
      <c r="H339" s="9" t="s">
        <v>137</v>
      </c>
    </row>
    <row r="340" spans="5:10" x14ac:dyDescent="0.25">
      <c r="G340" t="s">
        <v>200</v>
      </c>
      <c r="H340">
        <v>5400</v>
      </c>
    </row>
    <row r="341" spans="5:10" x14ac:dyDescent="0.25">
      <c r="G341" t="s">
        <v>202</v>
      </c>
      <c r="H341">
        <v>880</v>
      </c>
    </row>
    <row r="342" spans="5:10" x14ac:dyDescent="0.25">
      <c r="G342" t="s">
        <v>209</v>
      </c>
      <c r="H342">
        <v>90</v>
      </c>
    </row>
    <row r="343" spans="5:10" x14ac:dyDescent="0.25">
      <c r="G343" t="s">
        <v>210</v>
      </c>
      <c r="H343">
        <v>90</v>
      </c>
    </row>
    <row r="344" spans="5:10" x14ac:dyDescent="0.25">
      <c r="G344" t="s">
        <v>211</v>
      </c>
      <c r="H344">
        <v>90</v>
      </c>
    </row>
    <row r="345" spans="5:10" x14ac:dyDescent="0.25">
      <c r="G345" s="11" t="s">
        <v>7</v>
      </c>
      <c r="H345" s="7">
        <f>SUM(H340:H344)</f>
        <v>6550</v>
      </c>
    </row>
    <row r="346" spans="5:10" x14ac:dyDescent="0.25">
      <c r="G346" s="13"/>
      <c r="H346" s="12"/>
    </row>
    <row r="347" spans="5:10" x14ac:dyDescent="0.25">
      <c r="G347" s="13"/>
      <c r="H347" s="12"/>
      <c r="I347" s="9" t="s">
        <v>361</v>
      </c>
      <c r="J347" s="9" t="s">
        <v>137</v>
      </c>
    </row>
    <row r="348" spans="5:10" x14ac:dyDescent="0.25">
      <c r="G348" s="13"/>
      <c r="H348" s="12"/>
      <c r="I348" t="s">
        <v>205</v>
      </c>
      <c r="J348">
        <v>720</v>
      </c>
    </row>
    <row r="349" spans="5:10" x14ac:dyDescent="0.25">
      <c r="I349" s="11" t="s">
        <v>7</v>
      </c>
      <c r="J349" s="7">
        <f>SUM(J348)</f>
        <v>720</v>
      </c>
    </row>
    <row r="351" spans="5:10" x14ac:dyDescent="0.25">
      <c r="I351" s="9" t="s">
        <v>360</v>
      </c>
      <c r="J351" s="9" t="s">
        <v>137</v>
      </c>
    </row>
    <row r="352" spans="5:10" x14ac:dyDescent="0.25">
      <c r="I352" t="s">
        <v>204</v>
      </c>
      <c r="J352">
        <v>880</v>
      </c>
    </row>
    <row r="353" spans="7:10" x14ac:dyDescent="0.25">
      <c r="I353" t="s">
        <v>208</v>
      </c>
      <c r="J353">
        <v>170</v>
      </c>
    </row>
    <row r="354" spans="7:10" x14ac:dyDescent="0.25">
      <c r="I354" s="11" t="s">
        <v>7</v>
      </c>
      <c r="J354" s="7">
        <f>SUM(J352:J353)</f>
        <v>1050</v>
      </c>
    </row>
    <row r="356" spans="7:10" x14ac:dyDescent="0.25">
      <c r="I356" s="9" t="s">
        <v>359</v>
      </c>
      <c r="J356" s="9" t="s">
        <v>137</v>
      </c>
    </row>
    <row r="357" spans="7:10" x14ac:dyDescent="0.25">
      <c r="I357" t="s">
        <v>212</v>
      </c>
      <c r="J357">
        <v>40</v>
      </c>
    </row>
    <row r="358" spans="7:10" x14ac:dyDescent="0.25">
      <c r="I358" s="11" t="s">
        <v>7</v>
      </c>
      <c r="J358" s="7">
        <f>SUM(J357)</f>
        <v>40</v>
      </c>
    </row>
    <row r="361" spans="7:10" x14ac:dyDescent="0.25">
      <c r="G361" s="9" t="s">
        <v>207</v>
      </c>
      <c r="H361" s="9" t="s">
        <v>137</v>
      </c>
    </row>
    <row r="362" spans="7:10" x14ac:dyDescent="0.25">
      <c r="G362" t="s">
        <v>201</v>
      </c>
      <c r="H362">
        <v>5400</v>
      </c>
    </row>
    <row r="363" spans="7:10" x14ac:dyDescent="0.25">
      <c r="G363" t="s">
        <v>203</v>
      </c>
      <c r="H363">
        <v>90</v>
      </c>
    </row>
    <row r="364" spans="7:10" x14ac:dyDescent="0.25">
      <c r="G364" t="s">
        <v>213</v>
      </c>
      <c r="H364">
        <v>70</v>
      </c>
    </row>
    <row r="365" spans="7:10" x14ac:dyDescent="0.25">
      <c r="G365" t="s">
        <v>214</v>
      </c>
      <c r="H365">
        <v>170</v>
      </c>
    </row>
    <row r="366" spans="7:10" x14ac:dyDescent="0.25">
      <c r="G366" s="11" t="s">
        <v>7</v>
      </c>
      <c r="H366" s="7">
        <f>SUM(H361:H365)</f>
        <v>5730</v>
      </c>
    </row>
    <row r="367" spans="7:10" x14ac:dyDescent="0.25">
      <c r="G367" s="13"/>
      <c r="H367" s="12"/>
    </row>
    <row r="368" spans="7:10" x14ac:dyDescent="0.25">
      <c r="G368" s="13"/>
      <c r="H368" s="12"/>
      <c r="I368" s="9" t="s">
        <v>358</v>
      </c>
      <c r="J368" s="9" t="s">
        <v>137</v>
      </c>
    </row>
    <row r="369" spans="7:10" x14ac:dyDescent="0.25">
      <c r="G369" s="13"/>
      <c r="H369" s="12"/>
      <c r="I369" t="s">
        <v>216</v>
      </c>
      <c r="J369">
        <v>170</v>
      </c>
    </row>
    <row r="370" spans="7:10" x14ac:dyDescent="0.25">
      <c r="G370" s="13"/>
      <c r="H370" s="12"/>
      <c r="I370" s="11" t="s">
        <v>7</v>
      </c>
      <c r="J370" s="7">
        <f>SUM(J369)</f>
        <v>170</v>
      </c>
    </row>
    <row r="371" spans="7:10" x14ac:dyDescent="0.25">
      <c r="G371" s="13"/>
      <c r="H371" s="12"/>
    </row>
    <row r="372" spans="7:10" x14ac:dyDescent="0.25">
      <c r="I372" s="9" t="s">
        <v>362</v>
      </c>
      <c r="J372" s="9" t="s">
        <v>137</v>
      </c>
    </row>
    <row r="373" spans="7:10" x14ac:dyDescent="0.25">
      <c r="I373" t="s">
        <v>215</v>
      </c>
      <c r="J373">
        <v>720</v>
      </c>
    </row>
    <row r="374" spans="7:10" x14ac:dyDescent="0.25">
      <c r="I374" s="11" t="s">
        <v>7</v>
      </c>
      <c r="J374" s="7">
        <f>SUM(J373)</f>
        <v>720</v>
      </c>
    </row>
    <row r="376" spans="7:10" x14ac:dyDescent="0.25">
      <c r="I376" s="9" t="s">
        <v>363</v>
      </c>
      <c r="J376" s="9" t="s">
        <v>137</v>
      </c>
    </row>
    <row r="377" spans="7:10" x14ac:dyDescent="0.25">
      <c r="I377" t="s">
        <v>217</v>
      </c>
      <c r="J377">
        <v>90</v>
      </c>
    </row>
    <row r="378" spans="7:10" x14ac:dyDescent="0.25">
      <c r="I378" s="11" t="s">
        <v>7</v>
      </c>
      <c r="J378" s="7">
        <f>SUM(J377)</f>
        <v>90</v>
      </c>
    </row>
    <row r="380" spans="7:10" x14ac:dyDescent="0.25">
      <c r="I380" s="22" t="s">
        <v>364</v>
      </c>
      <c r="J380" s="22" t="s">
        <v>137</v>
      </c>
    </row>
    <row r="381" spans="7:10" x14ac:dyDescent="0.25">
      <c r="I381" t="s">
        <v>218</v>
      </c>
      <c r="J381">
        <v>50</v>
      </c>
    </row>
    <row r="382" spans="7:10" x14ac:dyDescent="0.25">
      <c r="I382" s="11" t="s">
        <v>7</v>
      </c>
      <c r="J382" s="7">
        <f>SUM(J381)</f>
        <v>50</v>
      </c>
    </row>
    <row r="384" spans="7:10" s="15" customFormat="1" x14ac:dyDescent="0.25"/>
    <row r="385" spans="3:8" x14ac:dyDescent="0.25">
      <c r="C385" s="4" t="s">
        <v>219</v>
      </c>
      <c r="D385" s="4"/>
    </row>
    <row r="386" spans="3:8" x14ac:dyDescent="0.25">
      <c r="C386" t="s">
        <v>220</v>
      </c>
      <c r="D386">
        <v>135000</v>
      </c>
    </row>
    <row r="387" spans="3:8" x14ac:dyDescent="0.25">
      <c r="C387" t="s">
        <v>221</v>
      </c>
      <c r="D387">
        <v>18100</v>
      </c>
    </row>
    <row r="388" spans="3:8" x14ac:dyDescent="0.25">
      <c r="C388" t="s">
        <v>222</v>
      </c>
      <c r="D388">
        <v>12100</v>
      </c>
    </row>
    <row r="389" spans="3:8" x14ac:dyDescent="0.25">
      <c r="C389" t="s">
        <v>223</v>
      </c>
      <c r="D389">
        <v>5400</v>
      </c>
    </row>
    <row r="390" spans="3:8" x14ac:dyDescent="0.25">
      <c r="C390" t="s">
        <v>224</v>
      </c>
      <c r="D390">
        <v>4400</v>
      </c>
    </row>
    <row r="391" spans="3:8" x14ac:dyDescent="0.25">
      <c r="C391" t="s">
        <v>225</v>
      </c>
      <c r="D391">
        <v>4400</v>
      </c>
    </row>
    <row r="392" spans="3:8" x14ac:dyDescent="0.25">
      <c r="C392" t="s">
        <v>226</v>
      </c>
      <c r="D392">
        <v>1300</v>
      </c>
    </row>
    <row r="393" spans="3:8" x14ac:dyDescent="0.25">
      <c r="C393" s="11" t="s">
        <v>7</v>
      </c>
      <c r="D393" s="7">
        <f>SUM(D386:D392)</f>
        <v>180700</v>
      </c>
    </row>
    <row r="395" spans="3:8" x14ac:dyDescent="0.25">
      <c r="E395" s="4" t="s">
        <v>227</v>
      </c>
      <c r="F395" s="4"/>
      <c r="G395" s="23"/>
      <c r="H395" s="23"/>
    </row>
    <row r="396" spans="3:8" x14ac:dyDescent="0.25">
      <c r="E396" t="s">
        <v>228</v>
      </c>
      <c r="F396">
        <v>18100</v>
      </c>
    </row>
    <row r="397" spans="3:8" x14ac:dyDescent="0.25">
      <c r="E397" t="s">
        <v>229</v>
      </c>
      <c r="F397">
        <v>12100</v>
      </c>
    </row>
    <row r="398" spans="3:8" x14ac:dyDescent="0.25">
      <c r="E398" t="s">
        <v>230</v>
      </c>
      <c r="F398">
        <v>5400</v>
      </c>
    </row>
    <row r="399" spans="3:8" x14ac:dyDescent="0.25">
      <c r="E399" t="s">
        <v>231</v>
      </c>
      <c r="F399">
        <v>2900</v>
      </c>
    </row>
    <row r="400" spans="3:8" x14ac:dyDescent="0.25">
      <c r="E400" t="s">
        <v>232</v>
      </c>
      <c r="F400">
        <v>720</v>
      </c>
    </row>
    <row r="401" spans="5:8" x14ac:dyDescent="0.25">
      <c r="E401" s="11" t="s">
        <v>7</v>
      </c>
      <c r="F401" s="7">
        <f>SUM(F394:F400)</f>
        <v>39220</v>
      </c>
    </row>
    <row r="403" spans="5:8" x14ac:dyDescent="0.25">
      <c r="E403" s="4" t="s">
        <v>233</v>
      </c>
      <c r="F403" s="4"/>
      <c r="G403" s="12"/>
      <c r="H403" s="12"/>
    </row>
    <row r="404" spans="5:8" x14ac:dyDescent="0.25">
      <c r="E404" t="s">
        <v>234</v>
      </c>
      <c r="F404">
        <v>33100</v>
      </c>
    </row>
    <row r="405" spans="5:8" x14ac:dyDescent="0.25">
      <c r="E405" t="s">
        <v>235</v>
      </c>
      <c r="F405">
        <v>5400</v>
      </c>
    </row>
    <row r="406" spans="5:8" x14ac:dyDescent="0.25">
      <c r="E406" t="s">
        <v>236</v>
      </c>
      <c r="F406">
        <v>5400</v>
      </c>
    </row>
    <row r="407" spans="5:8" x14ac:dyDescent="0.25">
      <c r="E407" t="s">
        <v>237</v>
      </c>
      <c r="F407">
        <v>5400</v>
      </c>
    </row>
    <row r="408" spans="5:8" x14ac:dyDescent="0.25">
      <c r="E408" t="s">
        <v>238</v>
      </c>
      <c r="F408">
        <v>1300</v>
      </c>
    </row>
    <row r="409" spans="5:8" x14ac:dyDescent="0.25">
      <c r="E409" t="s">
        <v>239</v>
      </c>
      <c r="F409">
        <v>480</v>
      </c>
    </row>
    <row r="410" spans="5:8" x14ac:dyDescent="0.25">
      <c r="E410" t="s">
        <v>240</v>
      </c>
      <c r="F410">
        <v>390</v>
      </c>
    </row>
    <row r="411" spans="5:8" x14ac:dyDescent="0.25">
      <c r="E411" t="s">
        <v>241</v>
      </c>
      <c r="F411">
        <v>390</v>
      </c>
    </row>
    <row r="412" spans="5:8" x14ac:dyDescent="0.25">
      <c r="E412" t="s">
        <v>242</v>
      </c>
      <c r="F412">
        <v>390</v>
      </c>
    </row>
    <row r="413" spans="5:8" x14ac:dyDescent="0.25">
      <c r="E413" t="s">
        <v>243</v>
      </c>
      <c r="F413">
        <v>390</v>
      </c>
    </row>
    <row r="414" spans="5:8" x14ac:dyDescent="0.25">
      <c r="E414" t="s">
        <v>244</v>
      </c>
      <c r="F414">
        <v>320</v>
      </c>
    </row>
    <row r="415" spans="5:8" x14ac:dyDescent="0.25">
      <c r="E415" t="s">
        <v>245</v>
      </c>
      <c r="F415">
        <v>260</v>
      </c>
    </row>
    <row r="416" spans="5:8" x14ac:dyDescent="0.25">
      <c r="E416" t="s">
        <v>246</v>
      </c>
      <c r="F416">
        <v>260</v>
      </c>
    </row>
    <row r="417" spans="5:8" x14ac:dyDescent="0.25">
      <c r="E417" s="11" t="s">
        <v>7</v>
      </c>
      <c r="F417" s="7">
        <f>SUM(F404:F416)</f>
        <v>53480</v>
      </c>
    </row>
    <row r="419" spans="5:8" x14ac:dyDescent="0.25">
      <c r="G419" s="9" t="s">
        <v>247</v>
      </c>
      <c r="H419" s="9" t="s">
        <v>137</v>
      </c>
    </row>
    <row r="420" spans="5:8" x14ac:dyDescent="0.25">
      <c r="G420" t="s">
        <v>248</v>
      </c>
      <c r="H420">
        <v>140</v>
      </c>
    </row>
    <row r="421" spans="5:8" x14ac:dyDescent="0.25">
      <c r="G421" t="s">
        <v>249</v>
      </c>
      <c r="H421">
        <v>30</v>
      </c>
    </row>
    <row r="422" spans="5:8" x14ac:dyDescent="0.25">
      <c r="G422" s="11" t="s">
        <v>7</v>
      </c>
      <c r="H422" s="7">
        <f>SUM(H417:H421)</f>
        <v>170</v>
      </c>
    </row>
    <row r="424" spans="5:8" x14ac:dyDescent="0.25">
      <c r="G424" s="9" t="s">
        <v>250</v>
      </c>
      <c r="H424" s="9" t="s">
        <v>137</v>
      </c>
    </row>
    <row r="425" spans="5:8" x14ac:dyDescent="0.25">
      <c r="G425" t="s">
        <v>251</v>
      </c>
      <c r="H425">
        <v>720</v>
      </c>
    </row>
    <row r="426" spans="5:8" x14ac:dyDescent="0.25">
      <c r="G426" t="s">
        <v>252</v>
      </c>
      <c r="H426">
        <v>210</v>
      </c>
    </row>
    <row r="427" spans="5:8" x14ac:dyDescent="0.25">
      <c r="G427" t="s">
        <v>253</v>
      </c>
      <c r="H427">
        <v>90</v>
      </c>
    </row>
    <row r="428" spans="5:8" x14ac:dyDescent="0.25">
      <c r="G428" s="11" t="s">
        <v>7</v>
      </c>
      <c r="H428" s="7">
        <f>SUM(H423:H427)</f>
        <v>1020</v>
      </c>
    </row>
    <row r="430" spans="5:8" x14ac:dyDescent="0.25">
      <c r="E430" s="4" t="s">
        <v>254</v>
      </c>
      <c r="F430" s="4"/>
    </row>
    <row r="431" spans="5:8" x14ac:dyDescent="0.25">
      <c r="E431" t="s">
        <v>255</v>
      </c>
      <c r="F431">
        <v>2900</v>
      </c>
    </row>
    <row r="432" spans="5:8" x14ac:dyDescent="0.25">
      <c r="E432" t="s">
        <v>256</v>
      </c>
      <c r="F432">
        <v>720</v>
      </c>
    </row>
    <row r="433" spans="3:6" x14ac:dyDescent="0.25">
      <c r="E433" t="s">
        <v>257</v>
      </c>
      <c r="F433">
        <v>720</v>
      </c>
    </row>
    <row r="434" spans="3:6" x14ac:dyDescent="0.25">
      <c r="E434" t="s">
        <v>258</v>
      </c>
      <c r="F434">
        <v>480</v>
      </c>
    </row>
    <row r="435" spans="3:6" x14ac:dyDescent="0.25">
      <c r="E435" t="s">
        <v>259</v>
      </c>
      <c r="F435">
        <v>140</v>
      </c>
    </row>
    <row r="436" spans="3:6" x14ac:dyDescent="0.25">
      <c r="E436" t="s">
        <v>260</v>
      </c>
      <c r="F436">
        <v>140</v>
      </c>
    </row>
    <row r="437" spans="3:6" x14ac:dyDescent="0.25">
      <c r="E437" s="11" t="s">
        <v>7</v>
      </c>
      <c r="F437" s="7">
        <f>SUM(F431:F436)</f>
        <v>5100</v>
      </c>
    </row>
    <row r="438" spans="3:6" s="15" customFormat="1" x14ac:dyDescent="0.25"/>
    <row r="439" spans="3:6" x14ac:dyDescent="0.25">
      <c r="C439" s="4" t="s">
        <v>261</v>
      </c>
      <c r="D439" s="4"/>
    </row>
    <row r="440" spans="3:6" x14ac:dyDescent="0.25">
      <c r="C440" t="s">
        <v>262</v>
      </c>
      <c r="D440">
        <v>246000</v>
      </c>
    </row>
    <row r="441" spans="3:6" x14ac:dyDescent="0.25">
      <c r="C441" t="s">
        <v>263</v>
      </c>
      <c r="D441">
        <v>22200</v>
      </c>
    </row>
    <row r="442" spans="3:6" x14ac:dyDescent="0.25">
      <c r="C442" t="s">
        <v>264</v>
      </c>
      <c r="D442">
        <v>9900</v>
      </c>
    </row>
    <row r="443" spans="3:6" x14ac:dyDescent="0.25">
      <c r="C443" t="s">
        <v>265</v>
      </c>
      <c r="D443">
        <v>6600</v>
      </c>
    </row>
    <row r="444" spans="3:6" x14ac:dyDescent="0.25">
      <c r="C444" t="s">
        <v>266</v>
      </c>
      <c r="D444">
        <v>5400</v>
      </c>
    </row>
    <row r="445" spans="3:6" x14ac:dyDescent="0.25">
      <c r="C445" t="s">
        <v>267</v>
      </c>
      <c r="D445">
        <v>5400</v>
      </c>
    </row>
    <row r="446" spans="3:6" x14ac:dyDescent="0.25">
      <c r="C446" t="s">
        <v>268</v>
      </c>
      <c r="D446">
        <v>880</v>
      </c>
    </row>
    <row r="447" spans="3:6" x14ac:dyDescent="0.25">
      <c r="C447" t="s">
        <v>269</v>
      </c>
      <c r="D447">
        <v>210</v>
      </c>
    </row>
    <row r="448" spans="3:6" x14ac:dyDescent="0.25">
      <c r="C448" s="11" t="s">
        <v>7</v>
      </c>
      <c r="D448" s="7">
        <f>SUM(D440:D447)</f>
        <v>296590</v>
      </c>
    </row>
    <row r="450" spans="5:8" x14ac:dyDescent="0.25">
      <c r="E450" s="4" t="s">
        <v>270</v>
      </c>
      <c r="F450" s="4"/>
      <c r="G450" s="25"/>
      <c r="H450" s="25"/>
    </row>
    <row r="451" spans="5:8" x14ac:dyDescent="0.25">
      <c r="E451" t="s">
        <v>271</v>
      </c>
      <c r="F451">
        <v>550000</v>
      </c>
    </row>
    <row r="452" spans="5:8" x14ac:dyDescent="0.25">
      <c r="E452" t="s">
        <v>272</v>
      </c>
      <c r="F452">
        <v>33100</v>
      </c>
    </row>
    <row r="453" spans="5:8" x14ac:dyDescent="0.25">
      <c r="E453" t="s">
        <v>273</v>
      </c>
      <c r="F453">
        <v>18100</v>
      </c>
    </row>
    <row r="454" spans="5:8" x14ac:dyDescent="0.25">
      <c r="E454" t="s">
        <v>274</v>
      </c>
      <c r="F454">
        <v>14800</v>
      </c>
    </row>
    <row r="455" spans="5:8" x14ac:dyDescent="0.25">
      <c r="E455" t="s">
        <v>275</v>
      </c>
      <c r="F455">
        <v>9900</v>
      </c>
    </row>
    <row r="456" spans="5:8" x14ac:dyDescent="0.25">
      <c r="E456" t="s">
        <v>276</v>
      </c>
      <c r="F456">
        <v>5400</v>
      </c>
    </row>
    <row r="457" spans="5:8" x14ac:dyDescent="0.25">
      <c r="E457" t="s">
        <v>277</v>
      </c>
      <c r="F457">
        <v>4400</v>
      </c>
    </row>
    <row r="458" spans="5:8" x14ac:dyDescent="0.25">
      <c r="E458" s="11" t="s">
        <v>7</v>
      </c>
      <c r="F458" s="7">
        <f>SUM(F450:F457)</f>
        <v>635700</v>
      </c>
    </row>
    <row r="460" spans="5:8" x14ac:dyDescent="0.25">
      <c r="E460" s="4" t="s">
        <v>278</v>
      </c>
      <c r="F460" s="4"/>
      <c r="G460" s="25"/>
      <c r="H460" s="25"/>
    </row>
    <row r="461" spans="5:8" x14ac:dyDescent="0.25">
      <c r="E461" t="s">
        <v>279</v>
      </c>
      <c r="F461">
        <v>201000</v>
      </c>
    </row>
    <row r="462" spans="5:8" x14ac:dyDescent="0.25">
      <c r="E462" t="s">
        <v>280</v>
      </c>
      <c r="F462">
        <v>8100</v>
      </c>
    </row>
    <row r="463" spans="5:8" x14ac:dyDescent="0.25">
      <c r="E463" t="s">
        <v>281</v>
      </c>
      <c r="F463">
        <v>4400</v>
      </c>
    </row>
    <row r="464" spans="5:8" x14ac:dyDescent="0.25">
      <c r="E464" t="s">
        <v>282</v>
      </c>
      <c r="F464">
        <v>1600</v>
      </c>
    </row>
    <row r="465" spans="5:8" x14ac:dyDescent="0.25">
      <c r="E465" t="s">
        <v>283</v>
      </c>
      <c r="F465">
        <v>1300</v>
      </c>
    </row>
    <row r="466" spans="5:8" x14ac:dyDescent="0.25">
      <c r="E466" t="s">
        <v>284</v>
      </c>
      <c r="F466">
        <v>1000</v>
      </c>
    </row>
    <row r="467" spans="5:8" x14ac:dyDescent="0.25">
      <c r="E467" t="s">
        <v>285</v>
      </c>
      <c r="F467">
        <v>480</v>
      </c>
    </row>
    <row r="468" spans="5:8" x14ac:dyDescent="0.25">
      <c r="E468" s="11" t="s">
        <v>7</v>
      </c>
      <c r="F468" s="7">
        <f>SUM(F460:F467)</f>
        <v>217880</v>
      </c>
    </row>
    <row r="470" spans="5:8" x14ac:dyDescent="0.25">
      <c r="E470" s="4" t="s">
        <v>286</v>
      </c>
      <c r="F470" s="4"/>
      <c r="G470" s="25"/>
      <c r="H470" s="25"/>
    </row>
    <row r="471" spans="5:8" x14ac:dyDescent="0.25">
      <c r="E471" t="s">
        <v>287</v>
      </c>
      <c r="F471">
        <v>880</v>
      </c>
    </row>
    <row r="472" spans="5:8" x14ac:dyDescent="0.25">
      <c r="E472" t="s">
        <v>288</v>
      </c>
      <c r="F472">
        <v>2900</v>
      </c>
    </row>
    <row r="473" spans="5:8" x14ac:dyDescent="0.25">
      <c r="E473" t="s">
        <v>289</v>
      </c>
      <c r="F473">
        <v>90500</v>
      </c>
    </row>
    <row r="474" spans="5:8" x14ac:dyDescent="0.25">
      <c r="E474" t="s">
        <v>290</v>
      </c>
      <c r="F474">
        <v>2900</v>
      </c>
    </row>
    <row r="475" spans="5:8" x14ac:dyDescent="0.25">
      <c r="E475" s="11" t="s">
        <v>7</v>
      </c>
      <c r="F475" s="7">
        <f>SUM(F471:F474)</f>
        <v>97180</v>
      </c>
    </row>
    <row r="476" spans="5:8" x14ac:dyDescent="0.25">
      <c r="E476" s="13"/>
      <c r="F476" s="12"/>
    </row>
    <row r="477" spans="5:8" x14ac:dyDescent="0.25">
      <c r="E477" s="4" t="s">
        <v>291</v>
      </c>
      <c r="F477" s="4"/>
      <c r="G477" s="25"/>
      <c r="H477" s="25"/>
    </row>
    <row r="478" spans="5:8" x14ac:dyDescent="0.25">
      <c r="E478" t="s">
        <v>292</v>
      </c>
      <c r="F478">
        <v>301000</v>
      </c>
    </row>
    <row r="479" spans="5:8" x14ac:dyDescent="0.25">
      <c r="E479" t="s">
        <v>293</v>
      </c>
      <c r="F479">
        <v>27100</v>
      </c>
    </row>
    <row r="480" spans="5:8" x14ac:dyDescent="0.25">
      <c r="E480" t="s">
        <v>294</v>
      </c>
      <c r="F480">
        <v>4400</v>
      </c>
    </row>
    <row r="481" spans="5:8" x14ac:dyDescent="0.25">
      <c r="E481" t="s">
        <v>295</v>
      </c>
      <c r="F481">
        <v>3600</v>
      </c>
    </row>
    <row r="482" spans="5:8" x14ac:dyDescent="0.25">
      <c r="E482" t="s">
        <v>296</v>
      </c>
      <c r="F482">
        <v>4400</v>
      </c>
    </row>
    <row r="483" spans="5:8" x14ac:dyDescent="0.25">
      <c r="E483" s="11" t="s">
        <v>7</v>
      </c>
      <c r="F483" s="7">
        <f>SUM(F478:F482)</f>
        <v>340500</v>
      </c>
    </row>
    <row r="485" spans="5:8" x14ac:dyDescent="0.25">
      <c r="E485" s="4" t="s">
        <v>297</v>
      </c>
      <c r="F485" s="4"/>
      <c r="G485" s="25"/>
      <c r="H485" s="25"/>
    </row>
    <row r="486" spans="5:8" x14ac:dyDescent="0.25">
      <c r="E486" t="s">
        <v>298</v>
      </c>
      <c r="F486">
        <v>201000</v>
      </c>
    </row>
    <row r="487" spans="5:8" x14ac:dyDescent="0.25">
      <c r="E487" t="s">
        <v>299</v>
      </c>
      <c r="F487">
        <v>22200</v>
      </c>
    </row>
    <row r="488" spans="5:8" x14ac:dyDescent="0.25">
      <c r="E488" t="s">
        <v>300</v>
      </c>
      <c r="F488">
        <v>3600</v>
      </c>
    </row>
    <row r="489" spans="5:8" x14ac:dyDescent="0.25">
      <c r="E489" t="s">
        <v>301</v>
      </c>
      <c r="F489">
        <v>2400</v>
      </c>
    </row>
    <row r="490" spans="5:8" x14ac:dyDescent="0.25">
      <c r="E490" t="s">
        <v>302</v>
      </c>
      <c r="F490">
        <v>1600</v>
      </c>
    </row>
    <row r="491" spans="5:8" x14ac:dyDescent="0.25">
      <c r="E491" s="11" t="s">
        <v>7</v>
      </c>
      <c r="F491" s="7">
        <f>SUM(F486:F490)</f>
        <v>230800</v>
      </c>
    </row>
    <row r="493" spans="5:8" x14ac:dyDescent="0.25">
      <c r="E493" s="4" t="s">
        <v>303</v>
      </c>
      <c r="F493" s="4"/>
      <c r="G493" s="25"/>
      <c r="H493" s="25"/>
    </row>
    <row r="494" spans="5:8" x14ac:dyDescent="0.25">
      <c r="E494" t="s">
        <v>304</v>
      </c>
      <c r="F494">
        <v>110000</v>
      </c>
    </row>
    <row r="495" spans="5:8" x14ac:dyDescent="0.25">
      <c r="E495" t="s">
        <v>305</v>
      </c>
      <c r="F495">
        <v>18100</v>
      </c>
    </row>
    <row r="496" spans="5:8" x14ac:dyDescent="0.25">
      <c r="E496" t="s">
        <v>306</v>
      </c>
      <c r="F496">
        <v>590</v>
      </c>
    </row>
    <row r="497" spans="5:8" x14ac:dyDescent="0.25">
      <c r="E497" t="s">
        <v>307</v>
      </c>
      <c r="F497">
        <v>880</v>
      </c>
    </row>
    <row r="498" spans="5:8" x14ac:dyDescent="0.25">
      <c r="E498" s="11" t="s">
        <v>7</v>
      </c>
      <c r="F498" s="7">
        <f>SUM(F494:F497)</f>
        <v>129570</v>
      </c>
    </row>
    <row r="500" spans="5:8" x14ac:dyDescent="0.25">
      <c r="E500" s="4" t="s">
        <v>308</v>
      </c>
      <c r="F500" s="4"/>
      <c r="G500" s="25"/>
      <c r="H500" s="25"/>
    </row>
    <row r="501" spans="5:8" x14ac:dyDescent="0.25">
      <c r="E501" t="s">
        <v>309</v>
      </c>
      <c r="F501">
        <v>301000</v>
      </c>
    </row>
    <row r="502" spans="5:8" x14ac:dyDescent="0.25">
      <c r="E502" t="s">
        <v>310</v>
      </c>
      <c r="F502">
        <v>27100</v>
      </c>
    </row>
    <row r="503" spans="5:8" x14ac:dyDescent="0.25">
      <c r="E503" t="s">
        <v>311</v>
      </c>
      <c r="F503">
        <v>5400</v>
      </c>
    </row>
    <row r="504" spans="5:8" x14ac:dyDescent="0.25">
      <c r="E504" t="s">
        <v>312</v>
      </c>
      <c r="F504">
        <v>4400</v>
      </c>
    </row>
    <row r="505" spans="5:8" x14ac:dyDescent="0.25">
      <c r="E505" t="s">
        <v>313</v>
      </c>
      <c r="F505">
        <v>720</v>
      </c>
    </row>
    <row r="506" spans="5:8" x14ac:dyDescent="0.25">
      <c r="E506" s="11" t="s">
        <v>7</v>
      </c>
      <c r="F506" s="7">
        <f>SUM(F501:F505)</f>
        <v>338620</v>
      </c>
    </row>
    <row r="508" spans="5:8" x14ac:dyDescent="0.25">
      <c r="E508" s="4" t="s">
        <v>314</v>
      </c>
      <c r="F508" s="4"/>
      <c r="G508" s="25"/>
      <c r="H508" s="25"/>
    </row>
    <row r="509" spans="5:8" x14ac:dyDescent="0.25">
      <c r="E509" t="s">
        <v>315</v>
      </c>
      <c r="F509">
        <v>110000</v>
      </c>
    </row>
    <row r="510" spans="5:8" x14ac:dyDescent="0.25">
      <c r="E510" t="s">
        <v>316</v>
      </c>
      <c r="F510">
        <v>14800</v>
      </c>
    </row>
    <row r="511" spans="5:8" x14ac:dyDescent="0.25">
      <c r="E511" t="s">
        <v>317</v>
      </c>
      <c r="F511">
        <v>2400</v>
      </c>
    </row>
    <row r="512" spans="5:8" x14ac:dyDescent="0.25">
      <c r="E512" t="s">
        <v>318</v>
      </c>
      <c r="F512">
        <v>720</v>
      </c>
    </row>
    <row r="513" spans="5:6" x14ac:dyDescent="0.25">
      <c r="E513" s="11" t="s">
        <v>7</v>
      </c>
      <c r="F513" s="7">
        <f>SUM(F509:F512)</f>
        <v>127920</v>
      </c>
    </row>
  </sheetData>
  <mergeCells count="12">
    <mergeCell ref="G493:H493"/>
    <mergeCell ref="G500:H500"/>
    <mergeCell ref="G508:H508"/>
    <mergeCell ref="G395:H395"/>
    <mergeCell ref="G450:H450"/>
    <mergeCell ref="G460:H460"/>
    <mergeCell ref="G470:H470"/>
    <mergeCell ref="G477:H477"/>
    <mergeCell ref="G485:H485"/>
    <mergeCell ref="G297:H297"/>
    <mergeCell ref="G284:H284"/>
    <mergeCell ref="M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Guangou Liu Bao</dc:creator>
  <cp:lastModifiedBy>efrai</cp:lastModifiedBy>
  <dcterms:created xsi:type="dcterms:W3CDTF">2020-03-18T04:27:48Z</dcterms:created>
  <dcterms:modified xsi:type="dcterms:W3CDTF">2021-10-26T09:46:57Z</dcterms:modified>
</cp:coreProperties>
</file>