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carme\Downloads\"/>
    </mc:Choice>
  </mc:AlternateContent>
  <xr:revisionPtr revIDLastSave="0" documentId="8_{B0F96293-3320-4E2C-8F62-169DFB7EFA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ase 1" sheetId="1" r:id="rId1"/>
    <sheet name="Ongoing Mensual" sheetId="2" r:id="rId2"/>
    <sheet name="Backlog Tareas - Seguimiento" sheetId="3" r:id="rId3"/>
  </sheets>
  <definedNames>
    <definedName name="_xlnm._FilterDatabase" localSheetId="2" hidden="1">'Backlog Tareas - Seguimiento'!$B$6:$L$56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2" l="1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C11" i="2"/>
  <c r="B11" i="2"/>
  <c r="A11" i="2"/>
  <c r="D10" i="2"/>
  <c r="B10" i="2"/>
  <c r="A10" i="2"/>
  <c r="D9" i="2"/>
  <c r="B9" i="2"/>
  <c r="A9" i="2"/>
  <c r="H8" i="2"/>
  <c r="E8" i="2"/>
  <c r="G8" i="2" s="1"/>
  <c r="D8" i="2"/>
  <c r="B8" i="2"/>
  <c r="A8" i="2"/>
  <c r="D7" i="2"/>
  <c r="I6" i="2"/>
  <c r="I5" i="2"/>
  <c r="J5" i="2" s="1"/>
  <c r="C18" i="1"/>
  <c r="D12" i="1"/>
  <c r="D11" i="1"/>
  <c r="D10" i="1"/>
  <c r="E9" i="1"/>
  <c r="G9" i="1" s="1"/>
  <c r="E10" i="1" s="1"/>
  <c r="D9" i="1"/>
  <c r="G8" i="1"/>
  <c r="E8" i="1"/>
  <c r="D8" i="1"/>
  <c r="D7" i="1"/>
  <c r="I6" i="1"/>
  <c r="L5" i="1"/>
  <c r="M5" i="1" s="1"/>
  <c r="I5" i="1"/>
  <c r="J5" i="1" s="1"/>
  <c r="K5" i="1" s="1"/>
  <c r="K6" i="1" s="1"/>
  <c r="I4" i="1"/>
  <c r="N5" i="1" l="1"/>
  <c r="M6" i="1"/>
  <c r="G10" i="1"/>
  <c r="E11" i="1" s="1"/>
  <c r="J6" i="2"/>
  <c r="K5" i="2"/>
  <c r="L6" i="1"/>
  <c r="E9" i="2"/>
  <c r="C8" i="2"/>
  <c r="I4" i="2"/>
  <c r="J6" i="1"/>
  <c r="K6" i="2" l="1"/>
  <c r="L5" i="2"/>
  <c r="G11" i="1"/>
  <c r="G9" i="2"/>
  <c r="N6" i="1"/>
  <c r="O5" i="1"/>
  <c r="O6" i="1" l="1"/>
  <c r="P5" i="1"/>
  <c r="E10" i="2"/>
  <c r="E12" i="1"/>
  <c r="C9" i="2"/>
  <c r="L6" i="2"/>
  <c r="M5" i="2"/>
  <c r="M6" i="2" l="1"/>
  <c r="N5" i="2"/>
  <c r="G12" i="1"/>
  <c r="G10" i="2"/>
  <c r="G7" i="2" s="1"/>
  <c r="C10" i="2"/>
  <c r="C7" i="2" s="1"/>
  <c r="E7" i="2"/>
  <c r="P6" i="1"/>
  <c r="Q5" i="1"/>
  <c r="P4" i="1"/>
  <c r="E13" i="1" l="1"/>
  <c r="R5" i="1"/>
  <c r="Q6" i="1"/>
  <c r="O5" i="2"/>
  <c r="N6" i="2"/>
  <c r="P5" i="2" l="1"/>
  <c r="O6" i="2"/>
  <c r="S5" i="1"/>
  <c r="R6" i="1"/>
  <c r="G13" i="1"/>
  <c r="C13" i="1"/>
  <c r="E14" i="1" l="1"/>
  <c r="S6" i="1"/>
  <c r="T5" i="1"/>
  <c r="P4" i="2"/>
  <c r="P6" i="2"/>
  <c r="Q5" i="2"/>
  <c r="R5" i="2" l="1"/>
  <c r="Q6" i="2"/>
  <c r="U5" i="1"/>
  <c r="T6" i="1"/>
  <c r="G14" i="1"/>
  <c r="E15" i="1" s="1"/>
  <c r="G15" i="1" l="1"/>
  <c r="E16" i="1" s="1"/>
  <c r="C14" i="1"/>
  <c r="U6" i="1"/>
  <c r="V5" i="1"/>
  <c r="R6" i="2"/>
  <c r="S5" i="2"/>
  <c r="S6" i="2" l="1"/>
  <c r="T5" i="2"/>
  <c r="V6" i="1"/>
  <c r="W5" i="1"/>
  <c r="G16" i="1"/>
  <c r="E17" i="1" s="1"/>
  <c r="C16" i="1"/>
  <c r="C15" i="1"/>
  <c r="C17" i="1" l="1"/>
  <c r="C7" i="1" s="1"/>
  <c r="G17" i="1"/>
  <c r="G7" i="1" s="1"/>
  <c r="E7" i="1"/>
  <c r="W6" i="1"/>
  <c r="W4" i="1"/>
  <c r="X5" i="1"/>
  <c r="T6" i="2"/>
  <c r="U5" i="2"/>
  <c r="U6" i="2" l="1"/>
  <c r="V5" i="2"/>
  <c r="X6" i="1"/>
  <c r="Y5" i="1"/>
  <c r="Z5" i="1" l="1"/>
  <c r="Y6" i="1"/>
  <c r="W5" i="2"/>
  <c r="V6" i="2"/>
  <c r="X5" i="2" l="1"/>
  <c r="W4" i="2"/>
  <c r="W6" i="2"/>
  <c r="AA5" i="1"/>
  <c r="Z6" i="1"/>
  <c r="AA6" i="1" l="1"/>
  <c r="AB5" i="1"/>
  <c r="Y5" i="2"/>
  <c r="X6" i="2"/>
  <c r="Z5" i="2" l="1"/>
  <c r="Y6" i="2"/>
  <c r="AC5" i="1"/>
  <c r="AB6" i="1"/>
  <c r="AC6" i="1" l="1"/>
  <c r="AD5" i="1"/>
  <c r="Z6" i="2"/>
  <c r="AA5" i="2"/>
  <c r="AA6" i="2" l="1"/>
  <c r="AB5" i="2"/>
  <c r="AD6" i="1"/>
  <c r="AE5" i="1"/>
  <c r="AD4" i="1"/>
  <c r="AE6" i="1" l="1"/>
  <c r="AF5" i="1"/>
  <c r="AB6" i="2"/>
  <c r="AC5" i="2"/>
  <c r="AC6" i="2" l="1"/>
  <c r="AD5" i="2"/>
  <c r="AF6" i="1"/>
  <c r="AG5" i="1"/>
  <c r="AH5" i="1" l="1"/>
  <c r="AG6" i="1"/>
  <c r="AE5" i="2"/>
  <c r="AD4" i="2"/>
  <c r="AD6" i="2"/>
  <c r="AF5" i="2" l="1"/>
  <c r="AE6" i="2"/>
  <c r="AI5" i="1"/>
  <c r="AH6" i="1"/>
  <c r="AI6" i="1" l="1"/>
  <c r="AJ5" i="1"/>
  <c r="AF6" i="2"/>
  <c r="AG5" i="2"/>
  <c r="AH5" i="2" l="1"/>
  <c r="AG6" i="2"/>
  <c r="AJ6" i="1"/>
  <c r="AK5" i="1"/>
  <c r="AK4" i="1" l="1"/>
  <c r="AL5" i="1"/>
  <c r="AK6" i="1"/>
  <c r="AH6" i="2"/>
  <c r="AI5" i="2"/>
  <c r="AI6" i="2" l="1"/>
  <c r="AJ5" i="2"/>
  <c r="AL6" i="1"/>
  <c r="AM5" i="1"/>
  <c r="AM6" i="1" l="1"/>
  <c r="AN5" i="1"/>
  <c r="AJ6" i="2"/>
  <c r="AK5" i="2"/>
  <c r="AK6" i="2" l="1"/>
  <c r="AK4" i="2"/>
  <c r="AL5" i="2"/>
  <c r="AN6" i="1"/>
  <c r="AO5" i="1"/>
  <c r="AP5" i="1" l="1"/>
  <c r="AO6" i="1"/>
  <c r="AM5" i="2"/>
  <c r="AL6" i="2"/>
  <c r="AN5" i="2" l="1"/>
  <c r="AM6" i="2"/>
  <c r="AQ5" i="1"/>
  <c r="AQ6" i="1" s="1"/>
  <c r="AP6" i="1"/>
  <c r="AO5" i="2" l="1"/>
  <c r="AN6" i="2"/>
  <c r="AP5" i="2" l="1"/>
  <c r="AO6" i="2"/>
  <c r="AP6" i="2" l="1"/>
  <c r="AQ5" i="2"/>
  <c r="AQ6" i="2" s="1"/>
</calcChain>
</file>

<file path=xl/sharedStrings.xml><?xml version="1.0" encoding="utf-8"?>
<sst xmlns="http://schemas.openxmlformats.org/spreadsheetml/2006/main" count="57" uniqueCount="38">
  <si>
    <t>Proyecto 1</t>
  </si>
  <si>
    <t>Inicio de Proyecto:</t>
  </si>
  <si>
    <t>Marco Mei - Javi</t>
  </si>
  <si>
    <t>Semana:</t>
  </si>
  <si>
    <t>TAREAS</t>
  </si>
  <si>
    <t>RESPONSABLE</t>
  </si>
  <si>
    <t>PROGRESO</t>
  </si>
  <si>
    <t>INICIO</t>
  </si>
  <si>
    <t>DÍAS</t>
  </si>
  <si>
    <t>FIN</t>
  </si>
  <si>
    <t>Fase 1</t>
  </si>
  <si>
    <t>Estudio de Palabras clave</t>
  </si>
  <si>
    <t>Marco Mei</t>
  </si>
  <si>
    <t>Arquitectura</t>
  </si>
  <si>
    <t>Javi Martinez</t>
  </si>
  <si>
    <t>Auditoría Técnica</t>
  </si>
  <si>
    <t>Presentación</t>
  </si>
  <si>
    <t>Tarea 5</t>
  </si>
  <si>
    <t>Cliente</t>
  </si>
  <si>
    <t>Tarea 6</t>
  </si>
  <si>
    <t>Tarea 7</t>
  </si>
  <si>
    <t>Tarea 8</t>
  </si>
  <si>
    <t>Tarea 9</t>
  </si>
  <si>
    <t>Tarea 10</t>
  </si>
  <si>
    <t>Nombre del Proyecto</t>
  </si>
  <si>
    <t>Project Manager</t>
  </si>
  <si>
    <t>Ongoing Mensual</t>
  </si>
  <si>
    <t>#</t>
  </si>
  <si>
    <t>ÁREA</t>
  </si>
  <si>
    <t>TAREA</t>
  </si>
  <si>
    <t>RECURRENCIA</t>
  </si>
  <si>
    <t>ESTIMACIÓN</t>
  </si>
  <si>
    <t>IMPORTANCIA</t>
  </si>
  <si>
    <t>ENLACES ÚTILES</t>
  </si>
  <si>
    <t>KPI</t>
  </si>
  <si>
    <t>NOTAS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</si>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</sst>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d"/>
  </numFmts>
  <fonts count="9" x14ac:knownFonts="1">
    <font>
      <sz val="10"/>
      <color rgb="FF000000"/>
      <name val="Arial"/>
    </font>
    <font>
      <b/>
      <sz val="16"/>
      <color rgb="FF4A86E8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8"/>
      <color theme="1"/>
      <name val="Arial"/>
    </font>
    <font>
      <sz val="10"/>
      <name val="Arial"/>
    </font>
    <font>
      <sz val="8"/>
      <color theme="1"/>
      <name val="Arial"/>
    </font>
    <font>
      <b/>
      <sz val="8"/>
      <color rgb="FFF3F3F3"/>
      <name val="Arial"/>
    </font>
    <font>
      <sz val="8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</fills>
  <borders count="10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9" fontId="6" fillId="0" borderId="7" xfId="0" applyNumberFormat="1" applyFont="1" applyBorder="1" applyAlignment="1">
      <alignment horizontal="center" vertical="center"/>
    </xf>
    <xf numFmtId="14" fontId="6" fillId="0" borderId="7" xfId="0" applyNumberFormat="1" applyFont="1" applyBorder="1"/>
    <xf numFmtId="14" fontId="6" fillId="0" borderId="7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9" fontId="6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/>
    <xf numFmtId="0" fontId="6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/>
    <xf numFmtId="164" fontId="4" fillId="2" borderId="2" xfId="0" applyNumberFormat="1" applyFont="1" applyFill="1" applyBorder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/>
    <xf numFmtId="0" fontId="7" fillId="3" borderId="0" xfId="0" applyFont="1" applyFill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7"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CC4125"/>
          <bgColor rgb="FFCC4125"/>
        </patternFill>
      </fill>
    </dxf>
    <dxf>
      <font>
        <b/>
        <color rgb="FFFFFFFF"/>
      </font>
      <fill>
        <patternFill patternType="solid">
          <fgColor rgb="FFCC4125"/>
          <bgColor rgb="FFCC4125"/>
        </patternFill>
      </fill>
    </dxf>
    <dxf>
      <fill>
        <patternFill patternType="solid">
          <fgColor rgb="FF1C4587"/>
          <bgColor rgb="FF1C4587"/>
        </patternFill>
      </fill>
    </dxf>
    <dxf>
      <font>
        <b/>
        <color rgb="FFFFFFFF"/>
      </font>
      <fill>
        <patternFill patternType="solid">
          <fgColor rgb="FFCC4125"/>
          <bgColor rgb="FFCC4125"/>
        </patternFill>
      </fill>
    </dxf>
    <dxf>
      <fill>
        <patternFill patternType="solid">
          <fgColor rgb="FF1C4587"/>
          <bgColor rgb="FF1C458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12395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12395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66775" cy="152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Q991"/>
  <sheetViews>
    <sheetView showGridLines="0" tabSelected="1" workbookViewId="0">
      <selection activeCell="C13" sqref="C13"/>
    </sheetView>
  </sheetViews>
  <sheetFormatPr baseColWidth="10" defaultColWidth="14.44140625" defaultRowHeight="15.75" customHeight="1" outlineLevelRow="1" x14ac:dyDescent="0.25"/>
  <cols>
    <col min="1" max="1" width="27.6640625" customWidth="1"/>
    <col min="2" max="2" width="12.6640625" customWidth="1"/>
    <col min="3" max="5" width="10.6640625" customWidth="1"/>
    <col min="6" max="6" width="16.33203125" customWidth="1"/>
    <col min="7" max="7" width="10.6640625" customWidth="1"/>
    <col min="9" max="43" width="3.33203125" customWidth="1"/>
  </cols>
  <sheetData>
    <row r="1" spans="1:43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x14ac:dyDescent="0.25">
      <c r="A3" s="1" t="s">
        <v>0</v>
      </c>
      <c r="B3" s="2"/>
      <c r="C3" s="2"/>
      <c r="D3" s="2"/>
      <c r="E3" s="2"/>
      <c r="F3" s="3" t="s">
        <v>1</v>
      </c>
      <c r="G3" s="4">
        <v>44634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x14ac:dyDescent="0.25">
      <c r="A4" s="5" t="s">
        <v>2</v>
      </c>
      <c r="B4" s="6"/>
      <c r="C4" s="6"/>
      <c r="D4" s="6"/>
      <c r="E4" s="6"/>
      <c r="F4" s="3" t="s">
        <v>3</v>
      </c>
      <c r="G4" s="7">
        <v>1</v>
      </c>
      <c r="H4" s="2"/>
      <c r="I4" s="36">
        <f>I5</f>
        <v>44634</v>
      </c>
      <c r="J4" s="37"/>
      <c r="K4" s="37"/>
      <c r="L4" s="37"/>
      <c r="M4" s="37"/>
      <c r="N4" s="37"/>
      <c r="O4" s="38"/>
      <c r="P4" s="36">
        <f>P5</f>
        <v>44641</v>
      </c>
      <c r="Q4" s="37"/>
      <c r="R4" s="37"/>
      <c r="S4" s="37"/>
      <c r="T4" s="37"/>
      <c r="U4" s="37"/>
      <c r="V4" s="38"/>
      <c r="W4" s="36">
        <f>W5</f>
        <v>44648</v>
      </c>
      <c r="X4" s="37"/>
      <c r="Y4" s="37"/>
      <c r="Z4" s="37"/>
      <c r="AA4" s="37"/>
      <c r="AB4" s="37"/>
      <c r="AC4" s="38"/>
      <c r="AD4" s="36">
        <f>AD5</f>
        <v>44655</v>
      </c>
      <c r="AE4" s="37"/>
      <c r="AF4" s="37"/>
      <c r="AG4" s="37"/>
      <c r="AH4" s="37"/>
      <c r="AI4" s="37"/>
      <c r="AJ4" s="38"/>
      <c r="AK4" s="36">
        <f>AK5</f>
        <v>44662</v>
      </c>
      <c r="AL4" s="37"/>
      <c r="AM4" s="37"/>
      <c r="AN4" s="37"/>
      <c r="AO4" s="37"/>
      <c r="AP4" s="37"/>
      <c r="AQ4" s="38"/>
    </row>
    <row r="5" spans="1:43" x14ac:dyDescent="0.25">
      <c r="A5" s="2"/>
      <c r="B5" s="8"/>
      <c r="C5" s="8"/>
      <c r="D5" s="8"/>
      <c r="E5" s="8"/>
      <c r="H5" s="8"/>
      <c r="I5" s="9">
        <f>$G$3-WEEKDAY(G3,3)+(G4-1)*7</f>
        <v>44634</v>
      </c>
      <c r="J5" s="10">
        <f t="shared" ref="J5:AQ5" si="0">I5+1</f>
        <v>44635</v>
      </c>
      <c r="K5" s="10">
        <f t="shared" si="0"/>
        <v>44636</v>
      </c>
      <c r="L5" s="10">
        <f t="shared" si="0"/>
        <v>44637</v>
      </c>
      <c r="M5" s="10">
        <f t="shared" si="0"/>
        <v>44638</v>
      </c>
      <c r="N5" s="10">
        <f t="shared" si="0"/>
        <v>44639</v>
      </c>
      <c r="O5" s="11">
        <f t="shared" si="0"/>
        <v>44640</v>
      </c>
      <c r="P5" s="9">
        <f t="shared" si="0"/>
        <v>44641</v>
      </c>
      <c r="Q5" s="10">
        <f t="shared" si="0"/>
        <v>44642</v>
      </c>
      <c r="R5" s="10">
        <f t="shared" si="0"/>
        <v>44643</v>
      </c>
      <c r="S5" s="10">
        <f t="shared" si="0"/>
        <v>44644</v>
      </c>
      <c r="T5" s="10">
        <f t="shared" si="0"/>
        <v>44645</v>
      </c>
      <c r="U5" s="10">
        <f t="shared" si="0"/>
        <v>44646</v>
      </c>
      <c r="V5" s="11">
        <f t="shared" si="0"/>
        <v>44647</v>
      </c>
      <c r="W5" s="9">
        <f t="shared" si="0"/>
        <v>44648</v>
      </c>
      <c r="X5" s="10">
        <f t="shared" si="0"/>
        <v>44649</v>
      </c>
      <c r="Y5" s="10">
        <f t="shared" si="0"/>
        <v>44650</v>
      </c>
      <c r="Z5" s="10">
        <f t="shared" si="0"/>
        <v>44651</v>
      </c>
      <c r="AA5" s="10">
        <f t="shared" si="0"/>
        <v>44652</v>
      </c>
      <c r="AB5" s="10">
        <f t="shared" si="0"/>
        <v>44653</v>
      </c>
      <c r="AC5" s="11">
        <f t="shared" si="0"/>
        <v>44654</v>
      </c>
      <c r="AD5" s="9">
        <f t="shared" si="0"/>
        <v>44655</v>
      </c>
      <c r="AE5" s="10">
        <f t="shared" si="0"/>
        <v>44656</v>
      </c>
      <c r="AF5" s="10">
        <f t="shared" si="0"/>
        <v>44657</v>
      </c>
      <c r="AG5" s="10">
        <f t="shared" si="0"/>
        <v>44658</v>
      </c>
      <c r="AH5" s="10">
        <f t="shared" si="0"/>
        <v>44659</v>
      </c>
      <c r="AI5" s="10">
        <f t="shared" si="0"/>
        <v>44660</v>
      </c>
      <c r="AJ5" s="11">
        <f t="shared" si="0"/>
        <v>44661</v>
      </c>
      <c r="AK5" s="9">
        <f t="shared" si="0"/>
        <v>44662</v>
      </c>
      <c r="AL5" s="10">
        <f t="shared" si="0"/>
        <v>44663</v>
      </c>
      <c r="AM5" s="10">
        <f t="shared" si="0"/>
        <v>44664</v>
      </c>
      <c r="AN5" s="10">
        <f t="shared" si="0"/>
        <v>44665</v>
      </c>
      <c r="AO5" s="10">
        <f t="shared" si="0"/>
        <v>44666</v>
      </c>
      <c r="AP5" s="10">
        <f t="shared" si="0"/>
        <v>44667</v>
      </c>
      <c r="AQ5" s="11">
        <f t="shared" si="0"/>
        <v>44668</v>
      </c>
    </row>
    <row r="6" spans="1:43" x14ac:dyDescent="0.25">
      <c r="A6" s="12" t="s">
        <v>4</v>
      </c>
      <c r="B6" s="13" t="s">
        <v>5</v>
      </c>
      <c r="C6" s="39" t="s">
        <v>6</v>
      </c>
      <c r="D6" s="40"/>
      <c r="E6" s="13" t="s">
        <v>7</v>
      </c>
      <c r="F6" s="13" t="s">
        <v>8</v>
      </c>
      <c r="G6" s="13" t="s">
        <v>9</v>
      </c>
      <c r="H6" s="14"/>
      <c r="I6" s="14" t="str">
        <f t="shared" ref="I6:AQ6" si="1">LEFT(TEXT(I5,"ddd"),1)</f>
        <v>l</v>
      </c>
      <c r="J6" s="14" t="str">
        <f t="shared" si="1"/>
        <v>m</v>
      </c>
      <c r="K6" s="14" t="str">
        <f t="shared" si="1"/>
        <v>m</v>
      </c>
      <c r="L6" s="14" t="str">
        <f t="shared" si="1"/>
        <v>j</v>
      </c>
      <c r="M6" s="14" t="str">
        <f t="shared" si="1"/>
        <v>v</v>
      </c>
      <c r="N6" s="14" t="str">
        <f t="shared" si="1"/>
        <v>s</v>
      </c>
      <c r="O6" s="14" t="str">
        <f t="shared" si="1"/>
        <v>d</v>
      </c>
      <c r="P6" s="14" t="str">
        <f t="shared" si="1"/>
        <v>l</v>
      </c>
      <c r="Q6" s="14" t="str">
        <f t="shared" si="1"/>
        <v>m</v>
      </c>
      <c r="R6" s="14" t="str">
        <f t="shared" si="1"/>
        <v>m</v>
      </c>
      <c r="S6" s="14" t="str">
        <f t="shared" si="1"/>
        <v>j</v>
      </c>
      <c r="T6" s="14" t="str">
        <f t="shared" si="1"/>
        <v>v</v>
      </c>
      <c r="U6" s="14" t="str">
        <f t="shared" si="1"/>
        <v>s</v>
      </c>
      <c r="V6" s="14" t="str">
        <f t="shared" si="1"/>
        <v>d</v>
      </c>
      <c r="W6" s="14" t="str">
        <f t="shared" si="1"/>
        <v>l</v>
      </c>
      <c r="X6" s="14" t="str">
        <f t="shared" si="1"/>
        <v>m</v>
      </c>
      <c r="Y6" s="14" t="str">
        <f t="shared" si="1"/>
        <v>m</v>
      </c>
      <c r="Z6" s="14" t="str">
        <f t="shared" si="1"/>
        <v>j</v>
      </c>
      <c r="AA6" s="14" t="str">
        <f t="shared" si="1"/>
        <v>v</v>
      </c>
      <c r="AB6" s="14" t="str">
        <f t="shared" si="1"/>
        <v>s</v>
      </c>
      <c r="AC6" s="14" t="str">
        <f t="shared" si="1"/>
        <v>d</v>
      </c>
      <c r="AD6" s="14" t="str">
        <f t="shared" si="1"/>
        <v>l</v>
      </c>
      <c r="AE6" s="14" t="str">
        <f t="shared" si="1"/>
        <v>m</v>
      </c>
      <c r="AF6" s="14" t="str">
        <f t="shared" si="1"/>
        <v>m</v>
      </c>
      <c r="AG6" s="14" t="str">
        <f t="shared" si="1"/>
        <v>j</v>
      </c>
      <c r="AH6" s="14" t="str">
        <f t="shared" si="1"/>
        <v>v</v>
      </c>
      <c r="AI6" s="14" t="str">
        <f t="shared" si="1"/>
        <v>s</v>
      </c>
      <c r="AJ6" s="14" t="str">
        <f t="shared" si="1"/>
        <v>d</v>
      </c>
      <c r="AK6" s="14" t="str">
        <f t="shared" si="1"/>
        <v>l</v>
      </c>
      <c r="AL6" s="14" t="str">
        <f t="shared" si="1"/>
        <v>m</v>
      </c>
      <c r="AM6" s="14" t="str">
        <f t="shared" si="1"/>
        <v>m</v>
      </c>
      <c r="AN6" s="14" t="str">
        <f t="shared" si="1"/>
        <v>j</v>
      </c>
      <c r="AO6" s="14" t="str">
        <f t="shared" si="1"/>
        <v>v</v>
      </c>
      <c r="AP6" s="14" t="str">
        <f t="shared" si="1"/>
        <v>s</v>
      </c>
      <c r="AQ6" s="14" t="str">
        <f t="shared" si="1"/>
        <v>d</v>
      </c>
    </row>
    <row r="7" spans="1:43" x14ac:dyDescent="0.25">
      <c r="A7" s="15" t="s">
        <v>10</v>
      </c>
      <c r="B7" s="16"/>
      <c r="C7" s="17">
        <f ca="1">AVERAGE(C8:C17)</f>
        <v>0.4</v>
      </c>
      <c r="D7" s="16" t="str">
        <f ca="1">IFERROR(__xludf.DUMMYFUNCTION("IFERROR(SPARKLINE(C7,{""charttype"",""bar"";""color1"",""gray"";""max"",1}))"),"")</f>
        <v/>
      </c>
      <c r="E7" s="18">
        <f>MIN(E8:E17)</f>
        <v>44634</v>
      </c>
      <c r="F7" s="16"/>
      <c r="G7" s="18">
        <f>MAX(G8:G17)</f>
        <v>44659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outlineLevel="1" x14ac:dyDescent="0.25">
      <c r="A8" s="19" t="s">
        <v>11</v>
      </c>
      <c r="B8" s="20" t="s">
        <v>12</v>
      </c>
      <c r="C8" s="21">
        <v>1</v>
      </c>
      <c r="D8" s="22" t="str">
        <f ca="1">IFERROR(__xludf.DUMMYFUNCTION("IFERROR(SPARKLINE(C8,{""charttype"",""bar"";""color1"",""gray"";""max"",1}))"),"")</f>
        <v/>
      </c>
      <c r="E8" s="23">
        <f>G3</f>
        <v>44634</v>
      </c>
      <c r="F8" s="20">
        <v>4</v>
      </c>
      <c r="G8" s="24">
        <f t="shared" ref="G8:G17" si="2">E8+F8</f>
        <v>44638</v>
      </c>
      <c r="H8" s="25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outlineLevel="1" x14ac:dyDescent="0.25">
      <c r="A9" s="19" t="s">
        <v>13</v>
      </c>
      <c r="B9" s="20" t="s">
        <v>14</v>
      </c>
      <c r="C9" s="21">
        <v>1</v>
      </c>
      <c r="D9" s="22" t="str">
        <f ca="1">IFERROR(__xludf.DUMMYFUNCTION("IFERROR(SPARKLINE(C9,{""charttype"",""bar"";""color1"",""gray"";""max"",1}))"),"")</f>
        <v/>
      </c>
      <c r="E9" s="23">
        <f>G3</f>
        <v>44634</v>
      </c>
      <c r="F9" s="20">
        <v>4</v>
      </c>
      <c r="G9" s="24">
        <f t="shared" si="2"/>
        <v>44638</v>
      </c>
      <c r="H9" s="25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outlineLevel="1" x14ac:dyDescent="0.25">
      <c r="A10" s="19" t="s">
        <v>15</v>
      </c>
      <c r="B10" s="20" t="s">
        <v>12</v>
      </c>
      <c r="C10" s="21">
        <v>0</v>
      </c>
      <c r="D10" s="22" t="str">
        <f ca="1">IFERROR(__xludf.DUMMYFUNCTION("IFERROR(SPARKLINE(C10,{""charttype"",""bar"";""color1"",""gray"";""max"",1}))"),"")</f>
        <v/>
      </c>
      <c r="E10" s="23">
        <f t="shared" ref="E10:E17" si="3">G9+1</f>
        <v>44639</v>
      </c>
      <c r="F10" s="20">
        <v>2</v>
      </c>
      <c r="G10" s="24">
        <f t="shared" si="2"/>
        <v>44641</v>
      </c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outlineLevel="1" x14ac:dyDescent="0.25">
      <c r="A11" s="19" t="s">
        <v>16</v>
      </c>
      <c r="B11" s="20" t="s">
        <v>12</v>
      </c>
      <c r="C11" s="21">
        <v>0</v>
      </c>
      <c r="D11" s="22" t="str">
        <f ca="1">IFERROR(__xludf.DUMMYFUNCTION("IFERROR(SPARKLINE(C11,{""charttype"",""bar"";""color1"",""gray"";""max"",1}))"),"")</f>
        <v/>
      </c>
      <c r="E11" s="23">
        <f t="shared" si="3"/>
        <v>44642</v>
      </c>
      <c r="F11" s="20">
        <v>10</v>
      </c>
      <c r="G11" s="24">
        <f t="shared" si="2"/>
        <v>44652</v>
      </c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outlineLevel="1" x14ac:dyDescent="0.25">
      <c r="A12" s="19" t="s">
        <v>17</v>
      </c>
      <c r="B12" s="20" t="s">
        <v>18</v>
      </c>
      <c r="C12" s="21">
        <v>0</v>
      </c>
      <c r="D12" s="22" t="str">
        <f ca="1">IFERROR(__xludf.DUMMYFUNCTION("IFERROR(SPARKLINE(C12,{""charttype"",""bar"";""color1"",""gray"";""max"",1}))"),"")</f>
        <v/>
      </c>
      <c r="E12" s="23">
        <f t="shared" si="3"/>
        <v>44653</v>
      </c>
      <c r="F12" s="20">
        <v>1</v>
      </c>
      <c r="G12" s="24">
        <f t="shared" si="2"/>
        <v>44654</v>
      </c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outlineLevel="1" x14ac:dyDescent="0.25">
      <c r="A13" s="19" t="s">
        <v>19</v>
      </c>
      <c r="B13" s="23"/>
      <c r="C13" s="21" t="str">
        <f t="shared" ref="C8:C18" ca="1" si="4">IFERROR(IF((TODAY()-E13)/(G13-E13)&lt;0,0,(TODAY()-E13)/(G13-E13)),"")</f>
        <v/>
      </c>
      <c r="D13" s="22" t="s">
        <v>37</v>
      </c>
      <c r="E13" s="23">
        <f t="shared" si="3"/>
        <v>44655</v>
      </c>
      <c r="F13" s="20">
        <v>0</v>
      </c>
      <c r="G13" s="24">
        <f t="shared" si="2"/>
        <v>44655</v>
      </c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outlineLevel="1" x14ac:dyDescent="0.25">
      <c r="A14" s="19" t="s">
        <v>20</v>
      </c>
      <c r="B14" s="23"/>
      <c r="C14" s="21" t="str">
        <f t="shared" ca="1" si="4"/>
        <v/>
      </c>
      <c r="D14" s="22" t="s">
        <v>37</v>
      </c>
      <c r="E14" s="23">
        <f t="shared" si="3"/>
        <v>44656</v>
      </c>
      <c r="F14" s="20">
        <v>0</v>
      </c>
      <c r="G14" s="24">
        <f t="shared" si="2"/>
        <v>44656</v>
      </c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outlineLevel="1" x14ac:dyDescent="0.25">
      <c r="A15" s="19" t="s">
        <v>21</v>
      </c>
      <c r="B15" s="23"/>
      <c r="C15" s="21" t="str">
        <f t="shared" ca="1" si="4"/>
        <v/>
      </c>
      <c r="D15" s="22" t="s">
        <v>37</v>
      </c>
      <c r="E15" s="23">
        <f t="shared" si="3"/>
        <v>44657</v>
      </c>
      <c r="F15" s="20">
        <v>0</v>
      </c>
      <c r="G15" s="24">
        <f t="shared" si="2"/>
        <v>44657</v>
      </c>
      <c r="H15" s="25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outlineLevel="1" x14ac:dyDescent="0.25">
      <c r="A16" s="19" t="s">
        <v>22</v>
      </c>
      <c r="B16" s="23"/>
      <c r="C16" s="21" t="str">
        <f t="shared" ca="1" si="4"/>
        <v/>
      </c>
      <c r="D16" s="22" t="s">
        <v>37</v>
      </c>
      <c r="E16" s="23">
        <f t="shared" si="3"/>
        <v>44658</v>
      </c>
      <c r="F16" s="20">
        <v>0</v>
      </c>
      <c r="G16" s="24">
        <f t="shared" si="2"/>
        <v>44658</v>
      </c>
      <c r="H16" s="25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outlineLevel="1" x14ac:dyDescent="0.25">
      <c r="A17" s="19" t="s">
        <v>23</v>
      </c>
      <c r="B17" s="23"/>
      <c r="C17" s="21" t="str">
        <f t="shared" ca="1" si="4"/>
        <v/>
      </c>
      <c r="D17" s="22" t="s">
        <v>37</v>
      </c>
      <c r="E17" s="23">
        <f t="shared" si="3"/>
        <v>44659</v>
      </c>
      <c r="F17" s="20">
        <v>0</v>
      </c>
      <c r="G17" s="24">
        <f t="shared" si="2"/>
        <v>44659</v>
      </c>
      <c r="H17" s="25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25">
      <c r="A18" s="2"/>
      <c r="B18" s="2"/>
      <c r="C18" s="27" t="str">
        <f t="shared" ca="1" si="4"/>
        <v/>
      </c>
      <c r="D18" s="2"/>
      <c r="E18" s="2"/>
      <c r="F18" s="2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1:43" x14ac:dyDescent="0.25">
      <c r="A19" s="2"/>
      <c r="B19" s="2"/>
      <c r="C19" s="2"/>
      <c r="D19" s="2"/>
      <c r="E19" s="2"/>
      <c r="F19" s="2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1:4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1:4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4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4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1:4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1:4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1:4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:4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:4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:4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spans="1:4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spans="1:4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spans="1:4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spans="1:4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spans="1:4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spans="1:4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spans="1:4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spans="1:4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spans="1:4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spans="1:4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spans="1:4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spans="1:4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spans="1:4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spans="1:4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spans="1:4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spans="1:4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spans="1:4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spans="1:4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spans="1:4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spans="1:4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spans="1:4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spans="1:4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spans="1:4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spans="1:4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spans="1:4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spans="1:4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spans="1:4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spans="1:4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spans="1:4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spans="1:4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spans="1:4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spans="1:4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spans="1:4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spans="1:4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spans="1:4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spans="1:4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spans="1:4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spans="1:4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spans="1:4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spans="1:4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spans="1:4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spans="1:4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spans="1:4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spans="1:4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spans="1:4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spans="1:4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spans="1:4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spans="1:4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spans="1:4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spans="1:4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spans="1:4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spans="1:4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spans="1:4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spans="1:4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spans="1:4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spans="1:4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spans="1:4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spans="1:4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spans="1:4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spans="1:4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spans="1:4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spans="1:4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spans="1:4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spans="1:4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spans="1:4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spans="1:4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spans="1:4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spans="1:4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spans="1:4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spans="1:4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spans="1:4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spans="1:4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spans="1:4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spans="1:4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spans="1:4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spans="1:4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spans="1:4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spans="1:4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spans="1:4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spans="1:4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spans="1:4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spans="1:4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spans="1:4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spans="1:4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spans="1:4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spans="1:4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spans="1:4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spans="1:4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spans="1:4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spans="1:4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spans="1:4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spans="1:4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spans="1:4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spans="1:4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spans="1:4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spans="1:4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spans="1:4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spans="1:4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spans="1:4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spans="1:4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spans="1:4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spans="1:4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spans="1:4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spans="1:4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spans="1:4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spans="1:4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spans="1:4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spans="1:4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spans="1:4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spans="1:4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spans="1:4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spans="1:4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spans="1:4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spans="1:4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:4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spans="1:4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spans="1:4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spans="1:4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spans="1:4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spans="1:4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spans="1:4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spans="1:4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spans="1:4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spans="1:4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spans="1:4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spans="1:4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spans="1:4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spans="1:4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spans="1:4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spans="1:4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spans="1:4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spans="1:4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spans="1:4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spans="1:4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spans="1:4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spans="1:4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spans="1:4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spans="1:4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spans="1:4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spans="1:4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spans="1:4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spans="1:4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:4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spans="1:4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spans="1:4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spans="1:4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spans="1:4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spans="1:4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spans="1:4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spans="1:4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:4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spans="1:4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spans="1:4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spans="1:4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spans="1:4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spans="1:4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spans="1:4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spans="1:4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spans="1:4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spans="1:4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spans="1:4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spans="1:4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spans="1:4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spans="1:4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spans="1:4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spans="1:4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spans="1:4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spans="1:4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spans="1:4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spans="1:4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spans="1:4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spans="1:4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spans="1:4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spans="1:4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spans="1:4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spans="1:4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spans="1:4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spans="1:4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spans="1:4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spans="1:4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spans="1:4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spans="1:4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spans="1:4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spans="1:4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spans="1:4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spans="1:4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spans="1:4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spans="1:4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spans="1:4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spans="1:4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spans="1:4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spans="1:4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spans="1:4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spans="1:4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spans="1:4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spans="1:4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spans="1:4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spans="1:4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spans="1:4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4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spans="1:4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spans="1:4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spans="1:4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4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4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spans="1:4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spans="1:4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spans="1:4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spans="1:4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spans="1:4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spans="1:4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spans="1:4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spans="1:4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spans="1:4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spans="1:4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spans="1:4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spans="1:4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spans="1:4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spans="1:4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spans="1:4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spans="1:4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spans="1:4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spans="1:4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spans="1:4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spans="1:4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spans="1:4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spans="1:4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spans="1:4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spans="1:4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spans="1:4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spans="1:4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spans="1:4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spans="1:4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spans="1:4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spans="1:4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spans="1:4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spans="1:4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spans="1:4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spans="1:4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spans="1:4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spans="1:4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spans="1:4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spans="1:4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spans="1:4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spans="1:4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spans="1:4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spans="1:4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spans="1:4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spans="1:4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spans="1:4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spans="1:4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spans="1:4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spans="1:4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spans="1:4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spans="1:4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spans="1:4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spans="1:4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spans="1:4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spans="1:4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spans="1:4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spans="1:4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spans="1:4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spans="1:4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spans="1:4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spans="1:4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spans="1:4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spans="1:4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spans="1:4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spans="1:4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spans="1:4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spans="1:4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spans="1:4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spans="1:4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spans="1:4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spans="1:4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spans="1:4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spans="1:4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spans="1:4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spans="1:4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spans="1:4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spans="1:4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spans="1:4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spans="1:4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spans="1:4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spans="1:4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spans="1:4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spans="1:4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spans="1:4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spans="1:4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spans="1:4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spans="1:4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spans="1:4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spans="1:4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spans="1:4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spans="1:4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spans="1:4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spans="1:4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spans="1:4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spans="1:4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spans="1:4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spans="1:4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spans="1:4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spans="1:4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spans="1:4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spans="1:4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spans="1:4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spans="1:4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spans="1:4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spans="1:4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spans="1:4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spans="1:4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spans="1:4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spans="1:4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spans="1:4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spans="1:4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spans="1:4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spans="1:4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spans="1:4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spans="1:4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spans="1:4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spans="1:4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spans="1:4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spans="1:4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spans="1:4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spans="1:4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spans="1:4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spans="1:4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spans="1:4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spans="1:4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spans="1:4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spans="1:4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spans="1:4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spans="1:4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spans="1:4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spans="1:4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spans="1:4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spans="1:4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spans="1:4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spans="1:4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spans="1:4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spans="1:4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spans="1:4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spans="1:4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spans="1:4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spans="1:4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spans="1:4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spans="1:4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spans="1:4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spans="1:4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spans="1:4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spans="1:4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spans="1:4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spans="1:4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spans="1:4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spans="1:4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spans="1:4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spans="1:4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spans="1:4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spans="1:4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spans="1:4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spans="1:4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spans="1:4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spans="1:4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spans="1:4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spans="1:4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spans="1:4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spans="1:4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spans="1:4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spans="1:4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spans="1:4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spans="1:4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spans="1:4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spans="1:4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spans="1:4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spans="1:4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spans="1:4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spans="1:4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spans="1:4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spans="1:4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spans="1:4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spans="1:4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spans="1:4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spans="1:4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spans="1:4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spans="1:4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spans="1:4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spans="1:4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spans="1:4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spans="1:4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spans="1:4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spans="1:4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spans="1:4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spans="1:4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spans="1:4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spans="1:4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spans="1:4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spans="1:4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spans="1:4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spans="1:4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spans="1:4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spans="1:4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spans="1:4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spans="1:4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spans="1:4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spans="1:4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spans="1:4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spans="1:4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spans="1:4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spans="1:4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spans="1:4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spans="1:4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spans="1:4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spans="1:4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spans="1:4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spans="1:4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spans="1:4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spans="1:4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spans="1:4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spans="1:4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spans="1:4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spans="1:4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spans="1:4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spans="1:4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spans="1:4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spans="1:4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spans="1:4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spans="1:4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spans="1:4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spans="1:4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spans="1:4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spans="1:4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spans="1:4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spans="1:4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spans="1:4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spans="1:4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spans="1:4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spans="1:4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spans="1:4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spans="1:4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spans="1:4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spans="1:4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spans="1:4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spans="1:4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spans="1:4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spans="1:4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spans="1:4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spans="1:4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spans="1:4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spans="1:4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spans="1:4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spans="1:4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spans="1:4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spans="1:4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spans="1:4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spans="1:4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spans="1:4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spans="1:4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spans="1:4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spans="1:4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spans="1:4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spans="1:4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spans="1:4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spans="1:4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spans="1:4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spans="1:4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spans="1:4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spans="1:4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spans="1:4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spans="1:4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spans="1:4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spans="1:4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spans="1:4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spans="1:4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spans="1:4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spans="1:4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spans="1:4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spans="1:4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spans="1:4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spans="1:4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spans="1:4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spans="1:4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spans="1:4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spans="1:4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spans="1:4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spans="1:4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spans="1:4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spans="1:4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spans="1:4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spans="1:4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spans="1:4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spans="1:4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spans="1:4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spans="1:4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spans="1:4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spans="1:4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spans="1:4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spans="1:4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spans="1:4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spans="1:4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spans="1:4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spans="1:4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spans="1:4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spans="1:4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spans="1:4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spans="1:4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spans="1:4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spans="1:4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spans="1:4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spans="1:4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spans="1:4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spans="1:4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spans="1:4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spans="1:4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spans="1:4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spans="1:4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spans="1:4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spans="1:4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spans="1:4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spans="1:4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spans="1:4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spans="1:4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spans="1:4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spans="1:4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spans="1:4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spans="1:4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spans="1:4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spans="1:4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spans="1:4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spans="1:4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spans="1:4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spans="1:4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spans="1:4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spans="1:4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spans="1:4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spans="1:4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spans="1:4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spans="1:4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spans="1:4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spans="1:4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spans="1:4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spans="1:4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spans="1:4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spans="1:4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spans="1:4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spans="1:4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spans="1:4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spans="1:4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spans="1:4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spans="1:4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spans="1:4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spans="1:4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spans="1:4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spans="1:4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spans="1:4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spans="1:4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spans="1:4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spans="1:4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spans="1:4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spans="1:4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spans="1:4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spans="1:4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spans="1:4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spans="1:4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spans="1:4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spans="1:4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spans="1:4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spans="1:4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spans="1:4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spans="1:4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spans="1:4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spans="1:4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spans="1:4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spans="1:4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spans="1:4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spans="1:4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spans="1:4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spans="1:4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spans="1:4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spans="1:4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spans="1:4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spans="1:4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spans="1:4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spans="1:4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spans="1:4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spans="1:4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spans="1:4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spans="1:4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spans="1:4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spans="1:4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spans="1:4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spans="1:4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spans="1:4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spans="1:4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spans="1:4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spans="1:4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spans="1:4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spans="1:4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spans="1:4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spans="1:4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spans="1:4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spans="1:4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spans="1:4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spans="1:4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spans="1:4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spans="1:4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spans="1:4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spans="1:4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spans="1:4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spans="1:4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spans="1:4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spans="1:4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spans="1:4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spans="1:4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spans="1:4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spans="1:4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spans="1:4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spans="1:4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spans="1:4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spans="1:4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spans="1:4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spans="1:4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spans="1:4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spans="1:4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spans="1:4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spans="1:4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spans="1:4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spans="1:4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spans="1:4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spans="1:4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spans="1:4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spans="1:4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spans="1:4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spans="1:4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spans="1:4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spans="1:4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spans="1:4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spans="1:4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spans="1:4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spans="1:4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spans="1:4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spans="1:4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spans="1:4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spans="1:4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spans="1:4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spans="1:4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spans="1:4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spans="1:4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spans="1:4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spans="1:4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spans="1:4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spans="1:4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spans="1:4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spans="1:4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spans="1:4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spans="1:4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spans="1:4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spans="1:4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spans="1:4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spans="1:4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spans="1:4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spans="1:4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spans="1:4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spans="1:4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spans="1:4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spans="1:4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spans="1:4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spans="1:4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spans="1:4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spans="1:4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spans="1:4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spans="1:4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spans="1:4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spans="1:4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spans="1:4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spans="1:4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spans="1:4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spans="1:4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spans="1:4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spans="1:4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spans="1:4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spans="1:4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spans="1:4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spans="1:4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spans="1:4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spans="1:4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spans="1:4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spans="1:4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spans="1:4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spans="1:4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spans="1:4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spans="1:4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spans="1:4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spans="1:4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spans="1:4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spans="1:4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spans="1:4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spans="1:4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spans="1:4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spans="1:4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spans="1:4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spans="1:4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spans="1:4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spans="1:4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spans="1:4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spans="1:4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spans="1:4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spans="1:4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spans="1:4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spans="1:4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spans="1:4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spans="1:4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spans="1:43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spans="1:43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spans="1:43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spans="1:43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spans="1:43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spans="1:43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spans="1:43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spans="1:43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spans="1:43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spans="1:43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spans="1:43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spans="1:43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spans="1:43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spans="1:43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spans="1:43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spans="1:43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spans="1:43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spans="1:43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spans="1:43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spans="1:43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spans="1:43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spans="1:43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spans="1:43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spans="1:43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spans="1:43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spans="1:43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spans="1:43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spans="1:43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spans="1:43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spans="1:43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spans="1:43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spans="1:43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spans="1:43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spans="1:43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spans="1:43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spans="1:43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spans="1:43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spans="1:43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spans="1:43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spans="1:43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spans="1:43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spans="1:43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spans="1:43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spans="1:43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spans="1:43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spans="1:43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spans="1:43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spans="1:43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spans="1:43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spans="1:43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spans="1:43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spans="1:43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spans="1:43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spans="1:43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spans="1:43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spans="1:43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spans="1:43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spans="1:43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spans="1:43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spans="1:43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spans="1:43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spans="1:43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spans="1:43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spans="1:43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spans="1:43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spans="1:43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spans="1:43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spans="1:43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spans="1:43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spans="1:43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spans="1:43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spans="1:43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spans="1:43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spans="1:43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spans="1:43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spans="1:43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spans="1:43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spans="1:43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spans="1:43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spans="1:43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spans="1:43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spans="1:43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spans="1:43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spans="1:43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spans="1:43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spans="1:43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spans="1:43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spans="1:43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spans="1:43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spans="1:43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spans="1:43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spans="1:43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spans="1:43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spans="1:43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spans="1:43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spans="1:43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spans="1:43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spans="1:43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spans="1:43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spans="1:43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spans="1:43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spans="1:43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spans="1:43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spans="1:43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spans="1:43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spans="1:43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spans="1:43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spans="1:43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spans="1:43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spans="1:43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spans="1:43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</sheetData>
  <mergeCells count="6">
    <mergeCell ref="C6:D6"/>
    <mergeCell ref="I4:O4"/>
    <mergeCell ref="P4:V4"/>
    <mergeCell ref="W4:AC4"/>
    <mergeCell ref="AD4:AJ4"/>
    <mergeCell ref="AK4:AQ4"/>
  </mergeCells>
  <conditionalFormatting sqref="I7:AQ17">
    <cfRule type="expression" dxfId="6" priority="1">
      <formula>AND(I$5&gt;=$E7,I$5&lt;=$G7)</formula>
    </cfRule>
  </conditionalFormatting>
  <conditionalFormatting sqref="I5:AQ6">
    <cfRule type="expression" dxfId="5" priority="2">
      <formula>I$5=TODAY()</formula>
    </cfRule>
  </conditionalFormatting>
  <printOptions horizontalCentered="1"/>
  <pageMargins left="0.25" right="0.25" top="0.75" bottom="0.75" header="0" footer="0"/>
  <pageSetup paperSize="9" fitToHeight="0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Q991"/>
  <sheetViews>
    <sheetView showGridLines="0" workbookViewId="0"/>
  </sheetViews>
  <sheetFormatPr baseColWidth="10" defaultColWidth="14.44140625" defaultRowHeight="15.75" customHeight="1" x14ac:dyDescent="0.25"/>
  <cols>
    <col min="1" max="1" width="27.6640625" customWidth="1"/>
    <col min="2" max="2" width="12.6640625" customWidth="1"/>
    <col min="3" max="5" width="10.6640625" customWidth="1"/>
    <col min="6" max="6" width="16.33203125" customWidth="1"/>
    <col min="7" max="7" width="10.6640625" customWidth="1"/>
    <col min="9" max="43" width="3.33203125" customWidth="1"/>
  </cols>
  <sheetData>
    <row r="1" spans="1:43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x14ac:dyDescent="0.25">
      <c r="A3" s="1" t="s">
        <v>24</v>
      </c>
      <c r="B3" s="2"/>
      <c r="C3" s="2"/>
      <c r="D3" s="2"/>
      <c r="E3" s="2"/>
      <c r="F3" s="3" t="s">
        <v>1</v>
      </c>
      <c r="G3" s="4">
        <v>44634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x14ac:dyDescent="0.25">
      <c r="A4" s="5" t="s">
        <v>25</v>
      </c>
      <c r="B4" s="6"/>
      <c r="C4" s="6"/>
      <c r="D4" s="6"/>
      <c r="E4" s="6"/>
      <c r="F4" s="3" t="s">
        <v>3</v>
      </c>
      <c r="G4" s="7">
        <v>1</v>
      </c>
      <c r="H4" s="2"/>
      <c r="I4" s="36">
        <f>I5</f>
        <v>44634</v>
      </c>
      <c r="J4" s="37"/>
      <c r="K4" s="37"/>
      <c r="L4" s="37"/>
      <c r="M4" s="37"/>
      <c r="N4" s="37"/>
      <c r="O4" s="38"/>
      <c r="P4" s="36">
        <f>P5</f>
        <v>44641</v>
      </c>
      <c r="Q4" s="37"/>
      <c r="R4" s="37"/>
      <c r="S4" s="37"/>
      <c r="T4" s="37"/>
      <c r="U4" s="37"/>
      <c r="V4" s="38"/>
      <c r="W4" s="36">
        <f>W5</f>
        <v>44648</v>
      </c>
      <c r="X4" s="37"/>
      <c r="Y4" s="37"/>
      <c r="Z4" s="37"/>
      <c r="AA4" s="37"/>
      <c r="AB4" s="37"/>
      <c r="AC4" s="38"/>
      <c r="AD4" s="36">
        <f>AD5</f>
        <v>44655</v>
      </c>
      <c r="AE4" s="37"/>
      <c r="AF4" s="37"/>
      <c r="AG4" s="37"/>
      <c r="AH4" s="37"/>
      <c r="AI4" s="37"/>
      <c r="AJ4" s="38"/>
      <c r="AK4" s="36">
        <f>AK5</f>
        <v>44662</v>
      </c>
      <c r="AL4" s="37"/>
      <c r="AM4" s="37"/>
      <c r="AN4" s="37"/>
      <c r="AO4" s="37"/>
      <c r="AP4" s="37"/>
      <c r="AQ4" s="38"/>
    </row>
    <row r="5" spans="1:43" x14ac:dyDescent="0.25">
      <c r="A5" s="2"/>
      <c r="B5" s="8"/>
      <c r="C5" s="8"/>
      <c r="D5" s="8"/>
      <c r="E5" s="8"/>
      <c r="H5" s="8"/>
      <c r="I5" s="9">
        <f>$G$3-WEEKDAY(G3,3)+(G4-1)*7</f>
        <v>44634</v>
      </c>
      <c r="J5" s="10">
        <f t="shared" ref="J5:AQ5" si="0">I5+1</f>
        <v>44635</v>
      </c>
      <c r="K5" s="10">
        <f t="shared" si="0"/>
        <v>44636</v>
      </c>
      <c r="L5" s="10">
        <f t="shared" si="0"/>
        <v>44637</v>
      </c>
      <c r="M5" s="10">
        <f t="shared" si="0"/>
        <v>44638</v>
      </c>
      <c r="N5" s="10">
        <f t="shared" si="0"/>
        <v>44639</v>
      </c>
      <c r="O5" s="11">
        <f t="shared" si="0"/>
        <v>44640</v>
      </c>
      <c r="P5" s="9">
        <f t="shared" si="0"/>
        <v>44641</v>
      </c>
      <c r="Q5" s="10">
        <f t="shared" si="0"/>
        <v>44642</v>
      </c>
      <c r="R5" s="10">
        <f t="shared" si="0"/>
        <v>44643</v>
      </c>
      <c r="S5" s="10">
        <f t="shared" si="0"/>
        <v>44644</v>
      </c>
      <c r="T5" s="10">
        <f t="shared" si="0"/>
        <v>44645</v>
      </c>
      <c r="U5" s="10">
        <f t="shared" si="0"/>
        <v>44646</v>
      </c>
      <c r="V5" s="11">
        <f t="shared" si="0"/>
        <v>44647</v>
      </c>
      <c r="W5" s="9">
        <f t="shared" si="0"/>
        <v>44648</v>
      </c>
      <c r="X5" s="10">
        <f t="shared" si="0"/>
        <v>44649</v>
      </c>
      <c r="Y5" s="10">
        <f t="shared" si="0"/>
        <v>44650</v>
      </c>
      <c r="Z5" s="10">
        <f t="shared" si="0"/>
        <v>44651</v>
      </c>
      <c r="AA5" s="10">
        <f t="shared" si="0"/>
        <v>44652</v>
      </c>
      <c r="AB5" s="10">
        <f t="shared" si="0"/>
        <v>44653</v>
      </c>
      <c r="AC5" s="11">
        <f t="shared" si="0"/>
        <v>44654</v>
      </c>
      <c r="AD5" s="9">
        <f t="shared" si="0"/>
        <v>44655</v>
      </c>
      <c r="AE5" s="10">
        <f t="shared" si="0"/>
        <v>44656</v>
      </c>
      <c r="AF5" s="10">
        <f t="shared" si="0"/>
        <v>44657</v>
      </c>
      <c r="AG5" s="10">
        <f t="shared" si="0"/>
        <v>44658</v>
      </c>
      <c r="AH5" s="10">
        <f t="shared" si="0"/>
        <v>44659</v>
      </c>
      <c r="AI5" s="10">
        <f t="shared" si="0"/>
        <v>44660</v>
      </c>
      <c r="AJ5" s="11">
        <f t="shared" si="0"/>
        <v>44661</v>
      </c>
      <c r="AK5" s="9">
        <f t="shared" si="0"/>
        <v>44662</v>
      </c>
      <c r="AL5" s="10">
        <f t="shared" si="0"/>
        <v>44663</v>
      </c>
      <c r="AM5" s="10">
        <f t="shared" si="0"/>
        <v>44664</v>
      </c>
      <c r="AN5" s="10">
        <f t="shared" si="0"/>
        <v>44665</v>
      </c>
      <c r="AO5" s="10">
        <f t="shared" si="0"/>
        <v>44666</v>
      </c>
      <c r="AP5" s="10">
        <f t="shared" si="0"/>
        <v>44667</v>
      </c>
      <c r="AQ5" s="11">
        <f t="shared" si="0"/>
        <v>44668</v>
      </c>
    </row>
    <row r="6" spans="1:43" x14ac:dyDescent="0.25">
      <c r="A6" s="12" t="s">
        <v>4</v>
      </c>
      <c r="B6" s="13" t="s">
        <v>5</v>
      </c>
      <c r="C6" s="39" t="s">
        <v>6</v>
      </c>
      <c r="D6" s="40"/>
      <c r="E6" s="13" t="s">
        <v>7</v>
      </c>
      <c r="F6" s="13" t="s">
        <v>8</v>
      </c>
      <c r="G6" s="13" t="s">
        <v>9</v>
      </c>
      <c r="H6" s="14"/>
      <c r="I6" s="14" t="str">
        <f t="shared" ref="I6:AQ6" si="1">LEFT(TEXT(I5,"ddd"),1)</f>
        <v>l</v>
      </c>
      <c r="J6" s="14" t="str">
        <f t="shared" si="1"/>
        <v>m</v>
      </c>
      <c r="K6" s="14" t="str">
        <f t="shared" si="1"/>
        <v>m</v>
      </c>
      <c r="L6" s="14" t="str">
        <f t="shared" si="1"/>
        <v>j</v>
      </c>
      <c r="M6" s="14" t="str">
        <f t="shared" si="1"/>
        <v>v</v>
      </c>
      <c r="N6" s="14" t="str">
        <f t="shared" si="1"/>
        <v>s</v>
      </c>
      <c r="O6" s="14" t="str">
        <f t="shared" si="1"/>
        <v>d</v>
      </c>
      <c r="P6" s="14" t="str">
        <f t="shared" si="1"/>
        <v>l</v>
      </c>
      <c r="Q6" s="14" t="str">
        <f t="shared" si="1"/>
        <v>m</v>
      </c>
      <c r="R6" s="14" t="str">
        <f t="shared" si="1"/>
        <v>m</v>
      </c>
      <c r="S6" s="14" t="str">
        <f t="shared" si="1"/>
        <v>j</v>
      </c>
      <c r="T6" s="14" t="str">
        <f t="shared" si="1"/>
        <v>v</v>
      </c>
      <c r="U6" s="14" t="str">
        <f t="shared" si="1"/>
        <v>s</v>
      </c>
      <c r="V6" s="14" t="str">
        <f t="shared" si="1"/>
        <v>d</v>
      </c>
      <c r="W6" s="14" t="str">
        <f t="shared" si="1"/>
        <v>l</v>
      </c>
      <c r="X6" s="14" t="str">
        <f t="shared" si="1"/>
        <v>m</v>
      </c>
      <c r="Y6" s="14" t="str">
        <f t="shared" si="1"/>
        <v>m</v>
      </c>
      <c r="Z6" s="14" t="str">
        <f t="shared" si="1"/>
        <v>j</v>
      </c>
      <c r="AA6" s="14" t="str">
        <f t="shared" si="1"/>
        <v>v</v>
      </c>
      <c r="AB6" s="14" t="str">
        <f t="shared" si="1"/>
        <v>s</v>
      </c>
      <c r="AC6" s="14" t="str">
        <f t="shared" si="1"/>
        <v>d</v>
      </c>
      <c r="AD6" s="14" t="str">
        <f t="shared" si="1"/>
        <v>l</v>
      </c>
      <c r="AE6" s="14" t="str">
        <f t="shared" si="1"/>
        <v>m</v>
      </c>
      <c r="AF6" s="14" t="str">
        <f t="shared" si="1"/>
        <v>m</v>
      </c>
      <c r="AG6" s="14" t="str">
        <f t="shared" si="1"/>
        <v>j</v>
      </c>
      <c r="AH6" s="14" t="str">
        <f t="shared" si="1"/>
        <v>v</v>
      </c>
      <c r="AI6" s="14" t="str">
        <f t="shared" si="1"/>
        <v>s</v>
      </c>
      <c r="AJ6" s="14" t="str">
        <f t="shared" si="1"/>
        <v>d</v>
      </c>
      <c r="AK6" s="14" t="str">
        <f t="shared" si="1"/>
        <v>l</v>
      </c>
      <c r="AL6" s="14" t="str">
        <f t="shared" si="1"/>
        <v>m</v>
      </c>
      <c r="AM6" s="14" t="str">
        <f t="shared" si="1"/>
        <v>m</v>
      </c>
      <c r="AN6" s="14" t="str">
        <f t="shared" si="1"/>
        <v>j</v>
      </c>
      <c r="AO6" s="14" t="str">
        <f t="shared" si="1"/>
        <v>v</v>
      </c>
      <c r="AP6" s="14" t="str">
        <f t="shared" si="1"/>
        <v>s</v>
      </c>
      <c r="AQ6" s="14" t="str">
        <f t="shared" si="1"/>
        <v>d</v>
      </c>
    </row>
    <row r="7" spans="1:43" x14ac:dyDescent="0.25">
      <c r="A7" s="15" t="s">
        <v>26</v>
      </c>
      <c r="B7" s="16"/>
      <c r="C7" s="17">
        <f ca="1">AVERAGE(C8:C17)</f>
        <v>32.133333333333333</v>
      </c>
      <c r="D7" s="16" t="str">
        <f ca="1">IFERROR(__xludf.DUMMYFUNCTION("IFERROR(SPARKLINE(C7,{""charttype"",""bar"";""color1"",""gray"";""max"",1}))"),"")</f>
        <v/>
      </c>
      <c r="E7" s="18">
        <f>MIN(E8:E17)</f>
        <v>44634</v>
      </c>
      <c r="F7" s="16"/>
      <c r="G7" s="18">
        <f>MAX(G8:G17)</f>
        <v>44656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x14ac:dyDescent="0.25">
      <c r="A8" s="19">
        <f>'Backlog Tareas - Seguimiento'!D7</f>
        <v>0</v>
      </c>
      <c r="B8" s="20">
        <f>'Backlog Tareas - Seguimiento'!H7</f>
        <v>0</v>
      </c>
      <c r="C8" s="21">
        <f t="shared" ref="C8:C11" ca="1" si="2">IFERROR(IF((TODAY()-E8)/(G8-E8)&lt;0,0,(TODAY()-E8)/(G8-E8)),"")</f>
        <v>20.399999999999999</v>
      </c>
      <c r="D8" s="22" t="str">
        <f ca="1">IFERROR(__xludf.DUMMYFUNCTION("IFERROR(SPARKLINE(C8,{""charttype"",""bar"";""color1"",""gray"";""max"",1}))"),"")</f>
        <v/>
      </c>
      <c r="E8" s="23">
        <f>G3</f>
        <v>44634</v>
      </c>
      <c r="F8" s="20">
        <v>10</v>
      </c>
      <c r="G8" s="24">
        <f t="shared" ref="G8:G10" si="3">E8+F8</f>
        <v>44644</v>
      </c>
      <c r="H8" s="25">
        <f>'Backlog Tareas - Seguimiento'!L7</f>
        <v>0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25">
      <c r="A9" s="19">
        <f>'Backlog Tareas - Seguimiento'!D8</f>
        <v>0</v>
      </c>
      <c r="B9" s="20">
        <f>'Backlog Tareas - Seguimiento'!H8</f>
        <v>0</v>
      </c>
      <c r="C9" s="21">
        <f t="shared" ca="1" si="2"/>
        <v>38.6</v>
      </c>
      <c r="D9" s="22" t="str">
        <f ca="1">IFERROR(__xludf.DUMMYFUNCTION("IFERROR(SPARKLINE(C9,{""charttype"",""bar"";""color1"",""gray"";""max"",1}))"),"")</f>
        <v/>
      </c>
      <c r="E9" s="23">
        <f t="shared" ref="E9:E10" si="4">G8+1</f>
        <v>44645</v>
      </c>
      <c r="F9" s="20">
        <v>5</v>
      </c>
      <c r="G9" s="24">
        <f t="shared" si="3"/>
        <v>44650</v>
      </c>
      <c r="H9" s="25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25">
      <c r="A10" s="19">
        <f>'Backlog Tareas - Seguimiento'!D9</f>
        <v>0</v>
      </c>
      <c r="B10" s="20">
        <f>'Backlog Tareas - Seguimiento'!H9</f>
        <v>0</v>
      </c>
      <c r="C10" s="21">
        <f t="shared" ca="1" si="2"/>
        <v>37.4</v>
      </c>
      <c r="D10" s="22" t="str">
        <f ca="1">IFERROR(__xludf.DUMMYFUNCTION("IFERROR(SPARKLINE(C10,{""charttype"",""bar"";""color1"",""gray"";""max"",1}))"),"")</f>
        <v/>
      </c>
      <c r="E10" s="23">
        <f t="shared" si="4"/>
        <v>44651</v>
      </c>
      <c r="F10" s="20">
        <v>5</v>
      </c>
      <c r="G10" s="24">
        <f t="shared" si="3"/>
        <v>44656</v>
      </c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25">
      <c r="A11" s="19">
        <f>'Backlog Tareas - Seguimiento'!D10</f>
        <v>0</v>
      </c>
      <c r="B11" s="20">
        <f>'Backlog Tareas - Seguimiento'!H10</f>
        <v>0</v>
      </c>
      <c r="C11" s="21" t="str">
        <f t="shared" ca="1" si="2"/>
        <v/>
      </c>
      <c r="D11" s="22" t="s">
        <v>37</v>
      </c>
      <c r="E11" s="23"/>
      <c r="F11" s="20"/>
      <c r="G11" s="25"/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25">
      <c r="A12" s="19">
        <f>'Backlog Tareas - Seguimiento'!D11</f>
        <v>0</v>
      </c>
      <c r="B12" s="20">
        <f>'Backlog Tareas - Seguimiento'!H11</f>
        <v>0</v>
      </c>
      <c r="C12" s="21"/>
      <c r="D12" s="22"/>
      <c r="E12" s="23"/>
      <c r="F12" s="20"/>
      <c r="G12" s="25"/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25">
      <c r="A13" s="19">
        <f>'Backlog Tareas - Seguimiento'!D12</f>
        <v>0</v>
      </c>
      <c r="B13" s="20">
        <f>'Backlog Tareas - Seguimiento'!H12</f>
        <v>0</v>
      </c>
      <c r="C13" s="21"/>
      <c r="D13" s="22"/>
      <c r="E13" s="23"/>
      <c r="F13" s="20"/>
      <c r="G13" s="25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25">
      <c r="A14" s="19">
        <f>'Backlog Tareas - Seguimiento'!D13</f>
        <v>0</v>
      </c>
      <c r="B14" s="20">
        <f>'Backlog Tareas - Seguimiento'!H13</f>
        <v>0</v>
      </c>
      <c r="C14" s="21"/>
      <c r="D14" s="22"/>
      <c r="E14" s="23"/>
      <c r="F14" s="20"/>
      <c r="G14" s="25"/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25">
      <c r="A15" s="19">
        <f>'Backlog Tareas - Seguimiento'!D14</f>
        <v>0</v>
      </c>
      <c r="B15" s="20">
        <f>'Backlog Tareas - Seguimiento'!H14</f>
        <v>0</v>
      </c>
      <c r="C15" s="21"/>
      <c r="D15" s="22"/>
      <c r="E15" s="23"/>
      <c r="F15" s="20"/>
      <c r="G15" s="25"/>
      <c r="H15" s="25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25">
      <c r="A16" s="19">
        <f>'Backlog Tareas - Seguimiento'!D15</f>
        <v>0</v>
      </c>
      <c r="B16" s="20">
        <f>'Backlog Tareas - Seguimiento'!H15</f>
        <v>0</v>
      </c>
      <c r="C16" s="21"/>
      <c r="D16" s="22"/>
      <c r="E16" s="23"/>
      <c r="F16" s="20"/>
      <c r="G16" s="25"/>
      <c r="H16" s="25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25">
      <c r="A17" s="19">
        <f>'Backlog Tareas - Seguimiento'!D16</f>
        <v>0</v>
      </c>
      <c r="B17" s="20">
        <f>'Backlog Tareas - Seguimiento'!H16</f>
        <v>0</v>
      </c>
      <c r="C17" s="21"/>
      <c r="D17" s="22"/>
      <c r="E17" s="23"/>
      <c r="F17" s="20"/>
      <c r="G17" s="25"/>
      <c r="H17" s="25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25">
      <c r="A18" s="19">
        <f>'Backlog Tareas - Seguimiento'!D17</f>
        <v>0</v>
      </c>
      <c r="B18" s="20">
        <f>'Backlog Tareas - Seguimiento'!H17</f>
        <v>0</v>
      </c>
      <c r="C18" s="21"/>
      <c r="D18" s="22"/>
      <c r="E18" s="23"/>
      <c r="F18" s="20"/>
      <c r="G18" s="25"/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25">
      <c r="A19" s="19">
        <f>'Backlog Tareas - Seguimiento'!D18</f>
        <v>0</v>
      </c>
      <c r="B19" s="20">
        <f>'Backlog Tareas - Seguimiento'!H18</f>
        <v>0</v>
      </c>
      <c r="C19" s="21"/>
      <c r="D19" s="22"/>
      <c r="E19" s="23"/>
      <c r="F19" s="20"/>
      <c r="G19" s="25"/>
      <c r="H19" s="25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25">
      <c r="A20" s="19">
        <f>'Backlog Tareas - Seguimiento'!D19</f>
        <v>0</v>
      </c>
      <c r="B20" s="20">
        <f>'Backlog Tareas - Seguimiento'!H19</f>
        <v>0</v>
      </c>
      <c r="C20" s="21"/>
      <c r="D20" s="22"/>
      <c r="E20" s="23"/>
      <c r="F20" s="20"/>
      <c r="G20" s="25"/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25">
      <c r="A21" s="19">
        <f>'Backlog Tareas - Seguimiento'!D20</f>
        <v>0</v>
      </c>
      <c r="B21" s="20">
        <f>'Backlog Tareas - Seguimiento'!H20</f>
        <v>0</v>
      </c>
      <c r="C21" s="21"/>
      <c r="D21" s="22"/>
      <c r="E21" s="23"/>
      <c r="F21" s="20"/>
      <c r="G21" s="25"/>
      <c r="H21" s="25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25">
      <c r="A22" s="19">
        <f>'Backlog Tareas - Seguimiento'!D21</f>
        <v>0</v>
      </c>
      <c r="B22" s="20">
        <f>'Backlog Tareas - Seguimiento'!H21</f>
        <v>0</v>
      </c>
      <c r="C22" s="21"/>
      <c r="D22" s="22"/>
      <c r="E22" s="23"/>
      <c r="F22" s="20"/>
      <c r="G22" s="25"/>
      <c r="H22" s="25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25">
      <c r="A23" s="19">
        <f>'Backlog Tareas - Seguimiento'!D22</f>
        <v>0</v>
      </c>
      <c r="B23" s="20">
        <f>'Backlog Tareas - Seguimiento'!H22</f>
        <v>0</v>
      </c>
      <c r="C23" s="21"/>
      <c r="D23" s="22"/>
      <c r="E23" s="23"/>
      <c r="F23" s="20"/>
      <c r="G23" s="25"/>
      <c r="H23" s="25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25">
      <c r="A24" s="19">
        <f>'Backlog Tareas - Seguimiento'!D23</f>
        <v>0</v>
      </c>
      <c r="B24" s="20">
        <f>'Backlog Tareas - Seguimiento'!H23</f>
        <v>0</v>
      </c>
      <c r="C24" s="21"/>
      <c r="D24" s="22"/>
      <c r="E24" s="23"/>
      <c r="F24" s="20"/>
      <c r="G24" s="25"/>
      <c r="H24" s="25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25">
      <c r="A25" s="19">
        <f>'Backlog Tareas - Seguimiento'!D24</f>
        <v>0</v>
      </c>
      <c r="B25" s="20">
        <f>'Backlog Tareas - Seguimiento'!H24</f>
        <v>0</v>
      </c>
      <c r="C25" s="21"/>
      <c r="D25" s="22"/>
      <c r="E25" s="23"/>
      <c r="F25" s="20"/>
      <c r="G25" s="25"/>
      <c r="H25" s="25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25">
      <c r="A26" s="19">
        <f>'Backlog Tareas - Seguimiento'!D25</f>
        <v>0</v>
      </c>
      <c r="B26" s="20">
        <f>'Backlog Tareas - Seguimiento'!H25</f>
        <v>0</v>
      </c>
      <c r="C26" s="21"/>
      <c r="D26" s="22"/>
      <c r="E26" s="23"/>
      <c r="F26" s="20"/>
      <c r="G26" s="25"/>
      <c r="H26" s="25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25">
      <c r="A27" s="19">
        <f>'Backlog Tareas - Seguimiento'!D26</f>
        <v>0</v>
      </c>
      <c r="B27" s="20">
        <f>'Backlog Tareas - Seguimiento'!H26</f>
        <v>0</v>
      </c>
      <c r="C27" s="21"/>
      <c r="D27" s="22"/>
      <c r="E27" s="23"/>
      <c r="F27" s="20"/>
      <c r="G27" s="25"/>
      <c r="H27" s="25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25">
      <c r="A28" s="19">
        <f>'Backlog Tareas - Seguimiento'!D27</f>
        <v>0</v>
      </c>
      <c r="B28" s="20">
        <f>'Backlog Tareas - Seguimiento'!H27</f>
        <v>0</v>
      </c>
      <c r="C28" s="21"/>
      <c r="D28" s="22"/>
      <c r="E28" s="23"/>
      <c r="F28" s="20"/>
      <c r="G28" s="25"/>
      <c r="H28" s="25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25">
      <c r="A29" s="19">
        <f>'Backlog Tareas - Seguimiento'!D28</f>
        <v>0</v>
      </c>
      <c r="B29" s="20">
        <f>'Backlog Tareas - Seguimiento'!H28</f>
        <v>0</v>
      </c>
      <c r="C29" s="21"/>
      <c r="D29" s="22"/>
      <c r="E29" s="23"/>
      <c r="F29" s="20"/>
      <c r="G29" s="25"/>
      <c r="H29" s="25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25">
      <c r="A30" s="19">
        <f>'Backlog Tareas - Seguimiento'!D29</f>
        <v>0</v>
      </c>
      <c r="B30" s="20">
        <f>'Backlog Tareas - Seguimiento'!H29</f>
        <v>0</v>
      </c>
      <c r="C30" s="21"/>
      <c r="D30" s="22"/>
      <c r="E30" s="23"/>
      <c r="F30" s="20"/>
      <c r="G30" s="25"/>
      <c r="H30" s="25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25">
      <c r="A31" s="19">
        <f>'Backlog Tareas - Seguimiento'!D30</f>
        <v>0</v>
      </c>
      <c r="B31" s="20">
        <f>'Backlog Tareas - Seguimiento'!H30</f>
        <v>0</v>
      </c>
      <c r="C31" s="21"/>
      <c r="D31" s="22"/>
      <c r="E31" s="23"/>
      <c r="F31" s="20"/>
      <c r="G31" s="25"/>
      <c r="H31" s="25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25">
      <c r="A32" s="19">
        <f>'Backlog Tareas - Seguimiento'!D31</f>
        <v>0</v>
      </c>
      <c r="B32" s="20">
        <f>'Backlog Tareas - Seguimiento'!H31</f>
        <v>0</v>
      </c>
      <c r="C32" s="21"/>
      <c r="D32" s="22"/>
      <c r="E32" s="23"/>
      <c r="F32" s="20"/>
      <c r="G32" s="25"/>
      <c r="H32" s="25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33" spans="1:43" x14ac:dyDescent="0.25">
      <c r="A33" s="19">
        <f>'Backlog Tareas - Seguimiento'!D32</f>
        <v>0</v>
      </c>
      <c r="B33" s="20">
        <f>'Backlog Tareas - Seguimiento'!H32</f>
        <v>0</v>
      </c>
      <c r="C33" s="21"/>
      <c r="D33" s="22"/>
      <c r="E33" s="23"/>
      <c r="F33" s="20"/>
      <c r="G33" s="25"/>
      <c r="H33" s="25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</row>
    <row r="34" spans="1:43" x14ac:dyDescent="0.25">
      <c r="A34" s="19">
        <f>'Backlog Tareas - Seguimiento'!D33</f>
        <v>0</v>
      </c>
      <c r="B34" s="20">
        <f>'Backlog Tareas - Seguimiento'!H33</f>
        <v>0</v>
      </c>
      <c r="C34" s="21"/>
      <c r="D34" s="22"/>
      <c r="E34" s="23"/>
      <c r="F34" s="20"/>
      <c r="G34" s="25"/>
      <c r="H34" s="25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</row>
    <row r="35" spans="1:43" x14ac:dyDescent="0.25">
      <c r="A35" s="19">
        <f>'Backlog Tareas - Seguimiento'!D34</f>
        <v>0</v>
      </c>
      <c r="B35" s="20">
        <f>'Backlog Tareas - Seguimiento'!H34</f>
        <v>0</v>
      </c>
      <c r="C35" s="21"/>
      <c r="D35" s="22"/>
      <c r="E35" s="23"/>
      <c r="F35" s="20"/>
      <c r="G35" s="25"/>
      <c r="H35" s="25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</row>
    <row r="36" spans="1:43" x14ac:dyDescent="0.25">
      <c r="A36" s="19">
        <f>'Backlog Tareas - Seguimiento'!D35</f>
        <v>0</v>
      </c>
      <c r="B36" s="20">
        <f>'Backlog Tareas - Seguimiento'!H35</f>
        <v>0</v>
      </c>
      <c r="C36" s="21"/>
      <c r="D36" s="22"/>
      <c r="E36" s="23"/>
      <c r="F36" s="20"/>
      <c r="G36" s="25"/>
      <c r="H36" s="25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</row>
    <row r="37" spans="1:43" x14ac:dyDescent="0.25">
      <c r="A37" s="19">
        <f>'Backlog Tareas - Seguimiento'!D36</f>
        <v>0</v>
      </c>
      <c r="B37" s="20">
        <f>'Backlog Tareas - Seguimiento'!H36</f>
        <v>0</v>
      </c>
      <c r="C37" s="21"/>
      <c r="D37" s="22"/>
      <c r="E37" s="23"/>
      <c r="F37" s="20"/>
      <c r="G37" s="25"/>
      <c r="H37" s="25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</row>
    <row r="38" spans="1:43" x14ac:dyDescent="0.25">
      <c r="A38" s="19">
        <f>'Backlog Tareas - Seguimiento'!D37</f>
        <v>0</v>
      </c>
      <c r="B38" s="20">
        <f>'Backlog Tareas - Seguimiento'!H37</f>
        <v>0</v>
      </c>
      <c r="C38" s="21"/>
      <c r="D38" s="22"/>
      <c r="E38" s="23"/>
      <c r="F38" s="20"/>
      <c r="G38" s="25"/>
      <c r="H38" s="25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</row>
    <row r="39" spans="1:43" x14ac:dyDescent="0.25">
      <c r="A39" s="19">
        <f>'Backlog Tareas - Seguimiento'!D38</f>
        <v>0</v>
      </c>
      <c r="B39" s="20">
        <f>'Backlog Tareas - Seguimiento'!H38</f>
        <v>0</v>
      </c>
      <c r="C39" s="21"/>
      <c r="D39" s="22"/>
      <c r="E39" s="23"/>
      <c r="F39" s="20"/>
      <c r="G39" s="25"/>
      <c r="H39" s="25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</row>
    <row r="40" spans="1:43" x14ac:dyDescent="0.25">
      <c r="A40" s="19">
        <f>'Backlog Tareas - Seguimiento'!D39</f>
        <v>0</v>
      </c>
      <c r="B40" s="20">
        <f>'Backlog Tareas - Seguimiento'!H39</f>
        <v>0</v>
      </c>
      <c r="C40" s="21"/>
      <c r="D40" s="22"/>
      <c r="E40" s="23"/>
      <c r="F40" s="20"/>
      <c r="G40" s="25"/>
      <c r="H40" s="25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</row>
    <row r="41" spans="1:43" x14ac:dyDescent="0.25">
      <c r="A41" s="19">
        <f>'Backlog Tareas - Seguimiento'!D40</f>
        <v>0</v>
      </c>
      <c r="B41" s="20">
        <f>'Backlog Tareas - Seguimiento'!H40</f>
        <v>0</v>
      </c>
      <c r="C41" s="21"/>
      <c r="D41" s="22"/>
      <c r="E41" s="23"/>
      <c r="F41" s="20"/>
      <c r="G41" s="25"/>
      <c r="H41" s="25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</row>
    <row r="42" spans="1:43" x14ac:dyDescent="0.25">
      <c r="A42" s="19">
        <f>'Backlog Tareas - Seguimiento'!D41</f>
        <v>0</v>
      </c>
      <c r="B42" s="20">
        <f>'Backlog Tareas - Seguimiento'!H41</f>
        <v>0</v>
      </c>
      <c r="C42" s="21"/>
      <c r="D42" s="22"/>
      <c r="E42" s="23"/>
      <c r="F42" s="20"/>
      <c r="G42" s="25"/>
      <c r="H42" s="25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</row>
    <row r="43" spans="1:43" x14ac:dyDescent="0.25">
      <c r="A43" s="19">
        <f>'Backlog Tareas - Seguimiento'!D42</f>
        <v>0</v>
      </c>
      <c r="B43" s="20">
        <f>'Backlog Tareas - Seguimiento'!H42</f>
        <v>0</v>
      </c>
      <c r="C43" s="21"/>
      <c r="D43" s="22"/>
      <c r="E43" s="23"/>
      <c r="F43" s="20"/>
      <c r="G43" s="25"/>
      <c r="H43" s="25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</row>
    <row r="44" spans="1:43" x14ac:dyDescent="0.25">
      <c r="A44" s="19">
        <f>'Backlog Tareas - Seguimiento'!D43</f>
        <v>0</v>
      </c>
      <c r="B44" s="20">
        <f>'Backlog Tareas - Seguimiento'!H43</f>
        <v>0</v>
      </c>
      <c r="C44" s="21"/>
      <c r="D44" s="22"/>
      <c r="E44" s="23"/>
      <c r="F44" s="20"/>
      <c r="G44" s="25"/>
      <c r="H44" s="25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</row>
    <row r="45" spans="1:43" x14ac:dyDescent="0.25">
      <c r="A45" s="19">
        <f>'Backlog Tareas - Seguimiento'!D44</f>
        <v>0</v>
      </c>
      <c r="B45" s="20">
        <f>'Backlog Tareas - Seguimiento'!H44</f>
        <v>0</v>
      </c>
      <c r="C45" s="21"/>
      <c r="D45" s="22"/>
      <c r="E45" s="23"/>
      <c r="F45" s="20"/>
      <c r="G45" s="25"/>
      <c r="H45" s="25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</row>
    <row r="46" spans="1:43" x14ac:dyDescent="0.25">
      <c r="A46" s="19">
        <f>'Backlog Tareas - Seguimiento'!D45</f>
        <v>0</v>
      </c>
      <c r="B46" s="20">
        <f>'Backlog Tareas - Seguimiento'!H45</f>
        <v>0</v>
      </c>
      <c r="C46" s="21"/>
      <c r="D46" s="22"/>
      <c r="E46" s="23"/>
      <c r="F46" s="20"/>
      <c r="G46" s="25"/>
      <c r="H46" s="25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</row>
    <row r="47" spans="1:43" x14ac:dyDescent="0.25">
      <c r="A47" s="19">
        <f>'Backlog Tareas - Seguimiento'!D46</f>
        <v>0</v>
      </c>
      <c r="B47" s="20">
        <f>'Backlog Tareas - Seguimiento'!H46</f>
        <v>0</v>
      </c>
      <c r="C47" s="21"/>
      <c r="D47" s="22"/>
      <c r="E47" s="23"/>
      <c r="F47" s="20"/>
      <c r="G47" s="25"/>
      <c r="H47" s="25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</row>
    <row r="48" spans="1:43" x14ac:dyDescent="0.25">
      <c r="A48" s="19">
        <f>'Backlog Tareas - Seguimiento'!D47</f>
        <v>0</v>
      </c>
      <c r="B48" s="20">
        <f>'Backlog Tareas - Seguimiento'!H47</f>
        <v>0</v>
      </c>
      <c r="C48" s="21"/>
      <c r="D48" s="22"/>
      <c r="E48" s="23"/>
      <c r="F48" s="20"/>
      <c r="G48" s="25"/>
      <c r="H48" s="25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</row>
    <row r="49" spans="1:43" x14ac:dyDescent="0.25">
      <c r="A49" s="19">
        <f>'Backlog Tareas - Seguimiento'!D48</f>
        <v>0</v>
      </c>
      <c r="B49" s="20">
        <f>'Backlog Tareas - Seguimiento'!H48</f>
        <v>0</v>
      </c>
      <c r="C49" s="21"/>
      <c r="D49" s="22"/>
      <c r="E49" s="23"/>
      <c r="F49" s="20"/>
      <c r="G49" s="25"/>
      <c r="H49" s="25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</row>
    <row r="50" spans="1:43" x14ac:dyDescent="0.25">
      <c r="A50" s="19">
        <f>'Backlog Tareas - Seguimiento'!D49</f>
        <v>0</v>
      </c>
      <c r="B50" s="20">
        <f>'Backlog Tareas - Seguimiento'!H49</f>
        <v>0</v>
      </c>
      <c r="C50" s="21"/>
      <c r="D50" s="22"/>
      <c r="E50" s="23"/>
      <c r="F50" s="20"/>
      <c r="G50" s="25"/>
      <c r="H50" s="25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</row>
    <row r="51" spans="1:43" x14ac:dyDescent="0.25">
      <c r="A51" s="19">
        <f>'Backlog Tareas - Seguimiento'!D50</f>
        <v>0</v>
      </c>
      <c r="B51" s="20">
        <f>'Backlog Tareas - Seguimiento'!H50</f>
        <v>0</v>
      </c>
      <c r="C51" s="21"/>
      <c r="D51" s="22"/>
      <c r="E51" s="23"/>
      <c r="F51" s="20"/>
      <c r="G51" s="25"/>
      <c r="H51" s="25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</row>
    <row r="52" spans="1:43" x14ac:dyDescent="0.25">
      <c r="A52" s="19">
        <f>'Backlog Tareas - Seguimiento'!D51</f>
        <v>0</v>
      </c>
      <c r="B52" s="20">
        <f>'Backlog Tareas - Seguimiento'!H51</f>
        <v>0</v>
      </c>
      <c r="C52" s="21"/>
      <c r="D52" s="22"/>
      <c r="E52" s="23"/>
      <c r="F52" s="20"/>
      <c r="G52" s="25"/>
      <c r="H52" s="25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</row>
    <row r="53" spans="1:4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:4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:4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:4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spans="1:4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spans="1:4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spans="1:4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spans="1:4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spans="1:4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spans="1:4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spans="1:4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spans="1:4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spans="1:4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spans="1:4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spans="1:4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spans="1:4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spans="1:4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spans="1:4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spans="1:4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spans="1:4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spans="1:4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spans="1:4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spans="1:4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spans="1:4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spans="1:4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spans="1:4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spans="1:4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spans="1:4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spans="1:4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spans="1:4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spans="1:4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spans="1:4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spans="1:4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spans="1:4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spans="1:4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spans="1:4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spans="1:4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spans="1:4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spans="1:4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spans="1:4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spans="1:4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spans="1:4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spans="1:4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spans="1:4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spans="1:4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spans="1:4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spans="1:4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spans="1:4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spans="1:4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spans="1:4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spans="1:4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spans="1:4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spans="1:4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spans="1:4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spans="1:4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spans="1:4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spans="1:4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spans="1:4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spans="1:4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spans="1:4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spans="1:4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spans="1:4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spans="1:4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spans="1:4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spans="1:4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spans="1:4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spans="1:4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spans="1:4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spans="1:4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spans="1:4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spans="1:4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spans="1:4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spans="1:4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spans="1:4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spans="1:4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spans="1:4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spans="1:4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spans="1:4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spans="1:4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spans="1:4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spans="1:4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spans="1:4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spans="1:4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spans="1:4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spans="1:4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spans="1:4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spans="1:4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spans="1:4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spans="1:4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spans="1:4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spans="1:4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spans="1:4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spans="1:4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spans="1:4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spans="1:4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spans="1:4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spans="1:4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spans="1:4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spans="1:4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spans="1:4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spans="1:4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spans="1:4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spans="1:4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spans="1:4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spans="1:4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spans="1:4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spans="1:4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spans="1:4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spans="1:4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spans="1:4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spans="1:4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spans="1:4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spans="1:4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spans="1:4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spans="1:4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spans="1:4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spans="1:4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spans="1:4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:4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spans="1:4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spans="1:4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spans="1:4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spans="1:4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spans="1:4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spans="1:4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spans="1:4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spans="1:4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spans="1:4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spans="1:4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spans="1:4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spans="1:4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spans="1:4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spans="1:4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spans="1:4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spans="1:4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spans="1:4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spans="1:4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spans="1:4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spans="1:4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spans="1:4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spans="1:4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spans="1:4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spans="1:4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spans="1:4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spans="1:4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spans="1:4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:4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spans="1:4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spans="1:4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spans="1:4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spans="1:4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spans="1:4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spans="1:4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spans="1:4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:4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spans="1:4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spans="1:4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spans="1:4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spans="1:4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spans="1:4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spans="1:4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spans="1:4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spans="1:4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spans="1:4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spans="1:4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spans="1:4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spans="1:4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spans="1:4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spans="1:4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spans="1:4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spans="1:4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spans="1:4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spans="1:4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spans="1:4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spans="1:4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spans="1:4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spans="1:4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spans="1:4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spans="1:4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spans="1:4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spans="1:4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spans="1:4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spans="1:4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spans="1:4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spans="1:4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spans="1:4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spans="1:4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spans="1:4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spans="1:4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spans="1:4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spans="1:4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spans="1:4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spans="1:4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spans="1:4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spans="1:4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spans="1:4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spans="1:4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spans="1:4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spans="1:4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spans="1:4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spans="1:4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spans="1:4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spans="1:4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4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spans="1:4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spans="1:4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spans="1:4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4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4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spans="1:4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spans="1:4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spans="1:4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spans="1:4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spans="1:4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spans="1:4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spans="1:4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spans="1:4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spans="1:4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spans="1:4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spans="1:4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spans="1:4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spans="1:4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spans="1:4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spans="1:4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spans="1:4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spans="1:4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spans="1:4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spans="1:4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spans="1:4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spans="1:4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spans="1:4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spans="1:4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spans="1:4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spans="1:4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spans="1:4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spans="1:4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spans="1:4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spans="1:4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spans="1:4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spans="1:4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spans="1:4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spans="1:4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spans="1:4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spans="1:4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spans="1:4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spans="1:4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spans="1:4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spans="1:4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spans="1:4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spans="1:4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spans="1:4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spans="1:4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spans="1:4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spans="1:4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spans="1:4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spans="1:4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spans="1:4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spans="1:4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spans="1:4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spans="1:4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spans="1:4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spans="1:4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spans="1:4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spans="1:4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spans="1:4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spans="1:4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spans="1:4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spans="1:4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spans="1:4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spans="1:4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spans="1:4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spans="1:4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spans="1:4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spans="1:4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spans="1:4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spans="1:4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spans="1:4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spans="1:4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spans="1:4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spans="1:4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spans="1:4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spans="1:4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spans="1:4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spans="1:4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spans="1:4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spans="1:4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spans="1:4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spans="1:4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spans="1:4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spans="1:4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spans="1:4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spans="1:4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spans="1:4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spans="1:4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spans="1:4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spans="1:4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spans="1:4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spans="1:4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spans="1:4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spans="1:4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spans="1:4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spans="1:4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spans="1:4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spans="1:4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spans="1:4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spans="1:4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spans="1:4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spans="1:4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spans="1:4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spans="1:4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spans="1:4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spans="1:4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spans="1:4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spans="1:4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spans="1:4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spans="1:4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spans="1:4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spans="1:4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spans="1:4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spans="1:4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spans="1:4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spans="1:4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spans="1:4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spans="1:4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spans="1:4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spans="1:4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spans="1:4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spans="1:4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spans="1:4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spans="1:4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spans="1:4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spans="1:4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spans="1:4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spans="1:4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spans="1:4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spans="1:4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spans="1:4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spans="1:4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spans="1:4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spans="1:4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spans="1:4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spans="1:4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spans="1:4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spans="1:4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spans="1:4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spans="1:4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spans="1:4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spans="1:4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spans="1:4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spans="1:4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spans="1:4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spans="1:4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spans="1:4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spans="1:4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spans="1:4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spans="1:4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spans="1:4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spans="1:4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spans="1:4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spans="1:4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spans="1:4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spans="1:4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spans="1:4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spans="1:4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spans="1:4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spans="1:4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spans="1:4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spans="1:4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spans="1:4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spans="1:4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spans="1:4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spans="1:4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spans="1:4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spans="1:4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spans="1:4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spans="1:4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spans="1:4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spans="1:4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spans="1:4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spans="1:4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spans="1:4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spans="1:4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spans="1:4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spans="1:4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spans="1:4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spans="1:4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spans="1:4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spans="1:4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spans="1:4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spans="1:4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spans="1:4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spans="1:4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spans="1:4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spans="1:4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spans="1:4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spans="1:4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spans="1:4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spans="1:4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spans="1:4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spans="1:4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spans="1:4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spans="1:4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spans="1:4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spans="1:4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spans="1:4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spans="1:4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spans="1:4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spans="1:4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spans="1:4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spans="1:4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spans="1:4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spans="1:4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spans="1:4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spans="1:4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spans="1:4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spans="1:4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spans="1:4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spans="1:4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spans="1:4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spans="1:4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spans="1:4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spans="1:4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spans="1:4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spans="1:4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spans="1:4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spans="1:4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spans="1:4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spans="1:4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spans="1:4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spans="1:4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spans="1:4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spans="1:4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spans="1:4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spans="1:4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spans="1:4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spans="1:4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spans="1:4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spans="1:4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spans="1:4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spans="1:4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spans="1:4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spans="1:4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spans="1:4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spans="1:4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spans="1:4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spans="1:4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spans="1:4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spans="1:4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spans="1:4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spans="1:4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spans="1:4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spans="1:4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spans="1:4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spans="1:4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spans="1:4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spans="1:4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spans="1:4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spans="1:4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spans="1:4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spans="1:4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spans="1:4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spans="1:4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spans="1:4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spans="1:4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spans="1:4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spans="1:4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spans="1:4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spans="1:4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spans="1:4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spans="1:4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spans="1:4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spans="1:4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spans="1:4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spans="1:4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spans="1:4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spans="1:4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spans="1:4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spans="1:4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spans="1:4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spans="1:4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spans="1:4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spans="1:4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spans="1:4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spans="1:4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spans="1:4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spans="1:4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spans="1:4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spans="1:4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spans="1:4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spans="1:4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spans="1:4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spans="1:4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spans="1:4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spans="1:4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spans="1:4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spans="1:4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spans="1:4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spans="1:4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spans="1:4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spans="1:4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spans="1:4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spans="1:4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spans="1:4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spans="1:4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spans="1:4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spans="1:4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spans="1:4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spans="1:4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spans="1:4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spans="1:4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spans="1:4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spans="1:4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spans="1:4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spans="1:4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spans="1:4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spans="1:4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spans="1:4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spans="1:4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spans="1:4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spans="1:4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spans="1:4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spans="1:4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spans="1:4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spans="1:4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spans="1:4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spans="1:4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spans="1:4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spans="1:4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spans="1:4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spans="1:4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spans="1:4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spans="1:4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spans="1:4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spans="1:4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spans="1:4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spans="1:4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spans="1:4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spans="1:4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spans="1:4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spans="1:4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spans="1:4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spans="1:4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spans="1:4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spans="1:4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spans="1:4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spans="1:4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spans="1:4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spans="1:4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spans="1:4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spans="1:4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spans="1:4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spans="1:4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spans="1:4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spans="1:4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spans="1:4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spans="1:4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spans="1:4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spans="1:4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spans="1:4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spans="1:4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spans="1:4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spans="1:4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spans="1:4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spans="1:4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spans="1:4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spans="1:4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spans="1:4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spans="1:4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spans="1:4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spans="1:4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spans="1:4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spans="1:4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spans="1:4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spans="1:4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spans="1:4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spans="1:4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spans="1:4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spans="1:4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spans="1:4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spans="1:4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spans="1:4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spans="1:4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spans="1:4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spans="1:4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spans="1:4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spans="1:4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spans="1:4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spans="1:4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spans="1:4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spans="1:4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spans="1:4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spans="1:4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spans="1:4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spans="1:4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spans="1:4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spans="1:4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spans="1:4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spans="1:4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spans="1:4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spans="1:4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spans="1:4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spans="1:4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spans="1:4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spans="1:4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spans="1:4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spans="1:4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spans="1:4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spans="1:4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spans="1:4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spans="1:4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spans="1:4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spans="1:4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spans="1:4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spans="1:4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spans="1:4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spans="1:4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spans="1:4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spans="1:4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spans="1:4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spans="1:4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spans="1:4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spans="1:4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spans="1:4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spans="1:4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spans="1:4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spans="1:4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spans="1:4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spans="1:4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spans="1:4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spans="1:4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spans="1:4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spans="1:4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spans="1:4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spans="1:4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spans="1:4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spans="1:4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spans="1:4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spans="1:4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spans="1:4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spans="1:4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spans="1:4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spans="1:4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spans="1:4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spans="1:4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spans="1:4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spans="1:4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spans="1:4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spans="1:4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spans="1:4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spans="1:4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spans="1:4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spans="1:4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spans="1:4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spans="1:4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spans="1:4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spans="1:4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spans="1:4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spans="1:4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spans="1:4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spans="1:4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spans="1:4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spans="1:4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spans="1:4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spans="1:4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spans="1:4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spans="1:4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spans="1:4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spans="1:4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spans="1:4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spans="1:4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spans="1:4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spans="1:4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spans="1:4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spans="1:4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spans="1:4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spans="1:4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spans="1:4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spans="1:4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spans="1:4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spans="1:4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spans="1:4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spans="1:4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spans="1:4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spans="1:4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spans="1:4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spans="1:4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spans="1:4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spans="1:4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spans="1:4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spans="1:4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spans="1:4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spans="1:4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spans="1:4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spans="1:4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spans="1:4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spans="1:4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spans="1:4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spans="1:4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spans="1:4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spans="1:4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spans="1:4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spans="1:4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spans="1:4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spans="1:4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spans="1:4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spans="1:4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spans="1:4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spans="1:4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spans="1:4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spans="1:4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spans="1:4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spans="1:4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spans="1:4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spans="1:4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spans="1:4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spans="1:43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spans="1:43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spans="1:43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spans="1:43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spans="1:43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spans="1:43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spans="1:43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spans="1:43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spans="1:43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spans="1:43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spans="1:43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spans="1:43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spans="1:43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spans="1:43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spans="1:43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spans="1:43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spans="1:43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spans="1:43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spans="1:43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spans="1:43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spans="1:43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spans="1:43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spans="1:43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spans="1:43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spans="1:43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spans="1:43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spans="1:43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spans="1:43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spans="1:43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spans="1:43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spans="1:43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spans="1:43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spans="1:43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spans="1:43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spans="1:43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spans="1:43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spans="1:43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spans="1:43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spans="1:43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spans="1:43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spans="1:43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spans="1:43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spans="1:43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spans="1:43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spans="1:43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spans="1:43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spans="1:43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spans="1:43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spans="1:43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spans="1:43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spans="1:43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spans="1:43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spans="1:43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spans="1:43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spans="1:43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spans="1:43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spans="1:43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spans="1:43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spans="1:43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spans="1:43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spans="1:43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spans="1:43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spans="1:43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spans="1:43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spans="1:43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spans="1:43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spans="1:43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spans="1:43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spans="1:43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spans="1:43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spans="1:43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spans="1:43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spans="1:43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spans="1:43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spans="1:43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spans="1:43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spans="1:43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spans="1:43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spans="1:43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spans="1:43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spans="1:43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spans="1:43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spans="1:43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spans="1:43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spans="1:43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spans="1:43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spans="1:43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spans="1:43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spans="1:43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spans="1:43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spans="1:43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spans="1:43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spans="1:43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spans="1:43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spans="1:43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spans="1:43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spans="1:43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spans="1:43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spans="1:43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spans="1:43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spans="1:43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spans="1:43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spans="1:43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spans="1:43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spans="1:43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spans="1:43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spans="1:43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spans="1:43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spans="1:43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spans="1:43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spans="1:43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</sheetData>
  <mergeCells count="6">
    <mergeCell ref="C6:D6"/>
    <mergeCell ref="I4:O4"/>
    <mergeCell ref="P4:V4"/>
    <mergeCell ref="W4:AC4"/>
    <mergeCell ref="AD4:AJ4"/>
    <mergeCell ref="AK4:AQ4"/>
  </mergeCells>
  <conditionalFormatting sqref="I7:AQ52">
    <cfRule type="expression" dxfId="4" priority="1">
      <formula>AND(I$5&gt;=$E7,I$5&lt;=$G7)</formula>
    </cfRule>
  </conditionalFormatting>
  <conditionalFormatting sqref="I5:AQ6">
    <cfRule type="expression" dxfId="3" priority="2">
      <formula>I$5=TODAY()</formula>
    </cfRule>
  </conditionalFormatting>
  <printOptions horizontalCentered="1"/>
  <pageMargins left="0.25" right="0.25" top="0.75" bottom="0.75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56"/>
  <sheetViews>
    <sheetView showGridLines="0" workbookViewId="0"/>
  </sheetViews>
  <sheetFormatPr baseColWidth="10" defaultColWidth="14.44140625" defaultRowHeight="15.75" customHeight="1" x14ac:dyDescent="0.25"/>
  <cols>
    <col min="1" max="1" width="13" customWidth="1"/>
    <col min="2" max="2" width="13.6640625" customWidth="1"/>
    <col min="3" max="3" width="11.33203125" customWidth="1"/>
    <col min="4" max="4" width="43.88671875" customWidth="1"/>
    <col min="5" max="5" width="15.33203125" customWidth="1"/>
    <col min="6" max="6" width="13.5546875" customWidth="1"/>
    <col min="7" max="7" width="14.5546875" customWidth="1"/>
    <col min="8" max="8" width="15.5546875" customWidth="1"/>
    <col min="9" max="9" width="17.109375" customWidth="1"/>
    <col min="10" max="10" width="13" customWidth="1"/>
    <col min="11" max="11" width="9.33203125" customWidth="1"/>
    <col min="12" max="12" width="13.33203125" customWidth="1"/>
  </cols>
  <sheetData>
    <row r="1" spans="1:12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25">
      <c r="A3" s="1" t="s">
        <v>24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x14ac:dyDescent="0.25">
      <c r="A4" s="5" t="s">
        <v>25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x14ac:dyDescent="0.25">
      <c r="A6" s="29" t="s">
        <v>27</v>
      </c>
      <c r="B6" s="12" t="s">
        <v>28</v>
      </c>
      <c r="C6" s="12" t="s">
        <v>10</v>
      </c>
      <c r="D6" s="12" t="s">
        <v>29</v>
      </c>
      <c r="E6" s="12" t="s">
        <v>30</v>
      </c>
      <c r="F6" s="12" t="s">
        <v>31</v>
      </c>
      <c r="G6" s="12" t="s">
        <v>32</v>
      </c>
      <c r="H6" s="12" t="s">
        <v>5</v>
      </c>
      <c r="I6" s="12" t="s">
        <v>33</v>
      </c>
      <c r="J6" s="12" t="s">
        <v>34</v>
      </c>
      <c r="K6" s="12" t="s">
        <v>35</v>
      </c>
      <c r="L6" s="12" t="s">
        <v>36</v>
      </c>
    </row>
    <row r="7" spans="1:12" x14ac:dyDescent="0.25">
      <c r="A7" s="30">
        <v>1</v>
      </c>
      <c r="B7" s="31"/>
      <c r="C7" s="31"/>
      <c r="D7" s="31"/>
      <c r="E7" s="32"/>
      <c r="F7" s="32"/>
      <c r="G7" s="33"/>
      <c r="H7" s="32"/>
      <c r="I7" s="34"/>
      <c r="J7" s="32"/>
      <c r="K7" s="34"/>
      <c r="L7" s="32"/>
    </row>
    <row r="8" spans="1:12" x14ac:dyDescent="0.25">
      <c r="A8" s="30">
        <v>2</v>
      </c>
      <c r="B8" s="31"/>
      <c r="C8" s="31"/>
      <c r="D8" s="31"/>
      <c r="E8" s="34"/>
      <c r="F8" s="34"/>
      <c r="G8" s="34"/>
      <c r="H8" s="32"/>
      <c r="I8" s="34"/>
      <c r="J8" s="32"/>
      <c r="K8" s="34"/>
      <c r="L8" s="34"/>
    </row>
    <row r="9" spans="1:12" x14ac:dyDescent="0.25">
      <c r="A9" s="30">
        <v>3</v>
      </c>
      <c r="B9" s="31"/>
      <c r="C9" s="31"/>
      <c r="D9" s="31"/>
      <c r="E9" s="34"/>
      <c r="F9" s="34"/>
      <c r="G9" s="34"/>
      <c r="H9" s="32"/>
      <c r="I9" s="34"/>
      <c r="J9" s="32"/>
      <c r="K9" s="34"/>
      <c r="L9" s="34"/>
    </row>
    <row r="10" spans="1:12" x14ac:dyDescent="0.25">
      <c r="A10" s="30">
        <v>4</v>
      </c>
      <c r="B10" s="31"/>
      <c r="C10" s="31"/>
      <c r="D10" s="31"/>
      <c r="E10" s="32"/>
      <c r="F10" s="32"/>
      <c r="G10" s="32"/>
      <c r="H10" s="32"/>
      <c r="I10" s="34"/>
      <c r="J10" s="32"/>
      <c r="K10" s="34"/>
      <c r="L10" s="32"/>
    </row>
    <row r="11" spans="1:12" x14ac:dyDescent="0.25">
      <c r="A11" s="30">
        <v>5</v>
      </c>
      <c r="B11" s="35"/>
      <c r="C11" s="35"/>
      <c r="D11" s="35"/>
      <c r="E11" s="34"/>
      <c r="F11" s="34"/>
      <c r="G11" s="34"/>
      <c r="H11" s="32"/>
      <c r="I11" s="34"/>
      <c r="J11" s="34"/>
      <c r="K11" s="34"/>
      <c r="L11" s="34"/>
    </row>
    <row r="12" spans="1:12" x14ac:dyDescent="0.25">
      <c r="A12" s="30">
        <v>6</v>
      </c>
      <c r="B12" s="35"/>
      <c r="C12" s="35"/>
      <c r="D12" s="35"/>
      <c r="E12" s="34"/>
      <c r="F12" s="34"/>
      <c r="G12" s="34"/>
      <c r="H12" s="34"/>
      <c r="I12" s="34"/>
      <c r="J12" s="34"/>
      <c r="K12" s="34"/>
      <c r="L12" s="34"/>
    </row>
    <row r="13" spans="1:12" x14ac:dyDescent="0.25">
      <c r="A13" s="30">
        <v>7</v>
      </c>
      <c r="B13" s="35"/>
      <c r="C13" s="35"/>
      <c r="D13" s="35"/>
      <c r="E13" s="34"/>
      <c r="F13" s="34"/>
      <c r="G13" s="34"/>
      <c r="H13" s="34"/>
      <c r="I13" s="34"/>
      <c r="J13" s="34"/>
      <c r="K13" s="34"/>
      <c r="L13" s="34"/>
    </row>
    <row r="14" spans="1:12" x14ac:dyDescent="0.25">
      <c r="A14" s="30">
        <v>8</v>
      </c>
      <c r="B14" s="35"/>
      <c r="C14" s="35"/>
      <c r="D14" s="35"/>
      <c r="E14" s="34"/>
      <c r="F14" s="34"/>
      <c r="G14" s="34"/>
      <c r="H14" s="34"/>
      <c r="I14" s="34"/>
      <c r="J14" s="34"/>
      <c r="K14" s="34"/>
      <c r="L14" s="34"/>
    </row>
    <row r="15" spans="1:12" x14ac:dyDescent="0.25">
      <c r="A15" s="30">
        <v>9</v>
      </c>
      <c r="B15" s="35"/>
      <c r="C15" s="35"/>
      <c r="D15" s="35"/>
      <c r="E15" s="34"/>
      <c r="F15" s="34"/>
      <c r="G15" s="34"/>
      <c r="H15" s="34"/>
      <c r="I15" s="34"/>
      <c r="J15" s="34"/>
      <c r="K15" s="34"/>
      <c r="L15" s="34"/>
    </row>
    <row r="16" spans="1:12" x14ac:dyDescent="0.25">
      <c r="A16" s="30">
        <v>10</v>
      </c>
      <c r="B16" s="35"/>
      <c r="C16" s="35"/>
      <c r="D16" s="35"/>
      <c r="E16" s="34"/>
      <c r="F16" s="34"/>
      <c r="G16" s="34"/>
      <c r="H16" s="34"/>
      <c r="I16" s="34"/>
      <c r="J16" s="34"/>
      <c r="K16" s="34"/>
      <c r="L16" s="34"/>
    </row>
    <row r="17" spans="1:12" x14ac:dyDescent="0.25">
      <c r="A17" s="30">
        <v>11</v>
      </c>
      <c r="B17" s="35"/>
      <c r="C17" s="35"/>
      <c r="D17" s="35"/>
      <c r="E17" s="34"/>
      <c r="F17" s="34"/>
      <c r="G17" s="34"/>
      <c r="H17" s="34"/>
      <c r="I17" s="34"/>
      <c r="J17" s="34"/>
      <c r="K17" s="34"/>
      <c r="L17" s="34"/>
    </row>
    <row r="18" spans="1:12" x14ac:dyDescent="0.25">
      <c r="A18" s="30">
        <v>12</v>
      </c>
      <c r="B18" s="35"/>
      <c r="C18" s="35"/>
      <c r="D18" s="35"/>
      <c r="E18" s="34"/>
      <c r="F18" s="34"/>
      <c r="G18" s="34"/>
      <c r="H18" s="34"/>
      <c r="I18" s="34"/>
      <c r="J18" s="34"/>
      <c r="K18" s="34"/>
      <c r="L18" s="34"/>
    </row>
    <row r="19" spans="1:12" x14ac:dyDescent="0.25">
      <c r="A19" s="30">
        <v>13</v>
      </c>
      <c r="B19" s="35"/>
      <c r="C19" s="35"/>
      <c r="D19" s="35"/>
      <c r="E19" s="34"/>
      <c r="F19" s="34"/>
      <c r="G19" s="34"/>
      <c r="H19" s="34"/>
      <c r="I19" s="34"/>
      <c r="J19" s="34"/>
      <c r="K19" s="34"/>
      <c r="L19" s="34"/>
    </row>
    <row r="20" spans="1:12" x14ac:dyDescent="0.25">
      <c r="A20" s="30">
        <v>14</v>
      </c>
      <c r="B20" s="35"/>
      <c r="C20" s="35"/>
      <c r="D20" s="35"/>
      <c r="E20" s="34"/>
      <c r="F20" s="34"/>
      <c r="G20" s="34"/>
      <c r="H20" s="34"/>
      <c r="I20" s="34"/>
      <c r="J20" s="34"/>
      <c r="K20" s="34"/>
      <c r="L20" s="34"/>
    </row>
    <row r="21" spans="1:12" x14ac:dyDescent="0.25">
      <c r="A21" s="30">
        <v>15</v>
      </c>
      <c r="B21" s="35"/>
      <c r="C21" s="35"/>
      <c r="D21" s="35"/>
      <c r="E21" s="34"/>
      <c r="F21" s="34"/>
      <c r="G21" s="34"/>
      <c r="H21" s="34"/>
      <c r="I21" s="34"/>
      <c r="J21" s="34"/>
      <c r="K21" s="34"/>
      <c r="L21" s="34"/>
    </row>
    <row r="22" spans="1:12" x14ac:dyDescent="0.25">
      <c r="A22" s="30">
        <v>16</v>
      </c>
      <c r="B22" s="35"/>
      <c r="C22" s="35"/>
      <c r="D22" s="35"/>
      <c r="E22" s="34"/>
      <c r="F22" s="34"/>
      <c r="G22" s="34"/>
      <c r="H22" s="34"/>
      <c r="I22" s="34"/>
      <c r="J22" s="34"/>
      <c r="K22" s="34"/>
      <c r="L22" s="34"/>
    </row>
    <row r="23" spans="1:12" x14ac:dyDescent="0.25">
      <c r="A23" s="30">
        <v>17</v>
      </c>
      <c r="B23" s="35"/>
      <c r="C23" s="35"/>
      <c r="D23" s="35"/>
      <c r="E23" s="34"/>
      <c r="F23" s="34"/>
      <c r="G23" s="34"/>
      <c r="H23" s="34"/>
      <c r="I23" s="34"/>
      <c r="J23" s="34"/>
      <c r="K23" s="34"/>
      <c r="L23" s="34"/>
    </row>
    <row r="24" spans="1:12" x14ac:dyDescent="0.25">
      <c r="A24" s="30">
        <v>18</v>
      </c>
      <c r="B24" s="35"/>
      <c r="C24" s="35"/>
      <c r="D24" s="35"/>
      <c r="E24" s="34"/>
      <c r="F24" s="34"/>
      <c r="G24" s="34"/>
      <c r="H24" s="34"/>
      <c r="I24" s="34"/>
      <c r="J24" s="34"/>
      <c r="K24" s="34"/>
      <c r="L24" s="34"/>
    </row>
    <row r="25" spans="1:12" x14ac:dyDescent="0.25">
      <c r="A25" s="30">
        <v>19</v>
      </c>
      <c r="B25" s="35"/>
      <c r="C25" s="35"/>
      <c r="D25" s="35"/>
      <c r="E25" s="34"/>
      <c r="F25" s="34"/>
      <c r="G25" s="34"/>
      <c r="H25" s="34"/>
      <c r="I25" s="34"/>
      <c r="J25" s="34"/>
      <c r="K25" s="34"/>
      <c r="L25" s="34"/>
    </row>
    <row r="26" spans="1:12" x14ac:dyDescent="0.25">
      <c r="A26" s="30">
        <v>20</v>
      </c>
      <c r="B26" s="35"/>
      <c r="C26" s="35"/>
      <c r="D26" s="35"/>
      <c r="E26" s="34"/>
      <c r="F26" s="34"/>
      <c r="G26" s="34"/>
      <c r="H26" s="34"/>
      <c r="I26" s="34"/>
      <c r="J26" s="34"/>
      <c r="K26" s="34"/>
      <c r="L26" s="34"/>
    </row>
    <row r="27" spans="1:12" x14ac:dyDescent="0.25">
      <c r="A27" s="30">
        <v>21</v>
      </c>
      <c r="B27" s="35"/>
      <c r="C27" s="35"/>
      <c r="D27" s="35"/>
      <c r="E27" s="34"/>
      <c r="F27" s="34"/>
      <c r="G27" s="34"/>
      <c r="H27" s="34"/>
      <c r="I27" s="34"/>
      <c r="J27" s="34"/>
      <c r="K27" s="34"/>
      <c r="L27" s="34"/>
    </row>
    <row r="28" spans="1:12" x14ac:dyDescent="0.25">
      <c r="A28" s="30">
        <v>22</v>
      </c>
      <c r="B28" s="35"/>
      <c r="C28" s="35"/>
      <c r="D28" s="35"/>
      <c r="E28" s="34"/>
      <c r="F28" s="34"/>
      <c r="G28" s="34"/>
      <c r="H28" s="34"/>
      <c r="I28" s="34"/>
      <c r="J28" s="34"/>
      <c r="K28" s="34"/>
      <c r="L28" s="34"/>
    </row>
    <row r="29" spans="1:12" x14ac:dyDescent="0.25">
      <c r="A29" s="30">
        <v>23</v>
      </c>
      <c r="B29" s="35"/>
      <c r="C29" s="35"/>
      <c r="D29" s="35"/>
      <c r="E29" s="34"/>
      <c r="F29" s="34"/>
      <c r="G29" s="34"/>
      <c r="H29" s="34"/>
      <c r="I29" s="34"/>
      <c r="J29" s="34"/>
      <c r="K29" s="34"/>
      <c r="L29" s="34"/>
    </row>
    <row r="30" spans="1:12" x14ac:dyDescent="0.25">
      <c r="A30" s="30">
        <v>24</v>
      </c>
      <c r="B30" s="35"/>
      <c r="C30" s="35"/>
      <c r="D30" s="35"/>
      <c r="E30" s="34"/>
      <c r="F30" s="34"/>
      <c r="G30" s="34"/>
      <c r="H30" s="34"/>
      <c r="I30" s="34"/>
      <c r="J30" s="34"/>
      <c r="K30" s="34"/>
      <c r="L30" s="34"/>
    </row>
    <row r="31" spans="1:12" x14ac:dyDescent="0.25">
      <c r="A31" s="30">
        <v>25</v>
      </c>
      <c r="B31" s="35"/>
      <c r="C31" s="35"/>
      <c r="D31" s="35"/>
      <c r="E31" s="34"/>
      <c r="F31" s="34"/>
      <c r="G31" s="34"/>
      <c r="H31" s="34"/>
      <c r="I31" s="34"/>
      <c r="J31" s="34"/>
      <c r="K31" s="34"/>
      <c r="L31" s="34"/>
    </row>
    <row r="32" spans="1:12" x14ac:dyDescent="0.25">
      <c r="A32" s="30">
        <v>26</v>
      </c>
      <c r="B32" s="35"/>
      <c r="C32" s="35"/>
      <c r="D32" s="35"/>
      <c r="E32" s="34"/>
      <c r="F32" s="34"/>
      <c r="G32" s="34"/>
      <c r="H32" s="34"/>
      <c r="I32" s="34"/>
      <c r="J32" s="34"/>
      <c r="K32" s="34"/>
      <c r="L32" s="34"/>
    </row>
    <row r="33" spans="1:12" x14ac:dyDescent="0.25">
      <c r="A33" s="30">
        <v>27</v>
      </c>
      <c r="B33" s="35"/>
      <c r="C33" s="35"/>
      <c r="D33" s="35"/>
      <c r="E33" s="34"/>
      <c r="F33" s="34"/>
      <c r="G33" s="34"/>
      <c r="H33" s="34"/>
      <c r="I33" s="34"/>
      <c r="J33" s="34"/>
      <c r="K33" s="34"/>
      <c r="L33" s="34"/>
    </row>
    <row r="34" spans="1:12" x14ac:dyDescent="0.25">
      <c r="A34" s="30">
        <v>28</v>
      </c>
      <c r="B34" s="35"/>
      <c r="C34" s="35"/>
      <c r="D34" s="35"/>
      <c r="E34" s="34"/>
      <c r="F34" s="34"/>
      <c r="G34" s="34"/>
      <c r="H34" s="34"/>
      <c r="I34" s="34"/>
      <c r="J34" s="34"/>
      <c r="K34" s="34"/>
      <c r="L34" s="34"/>
    </row>
    <row r="35" spans="1:12" x14ac:dyDescent="0.25">
      <c r="A35" s="30">
        <v>29</v>
      </c>
      <c r="B35" s="35"/>
      <c r="C35" s="35"/>
      <c r="D35" s="35"/>
      <c r="E35" s="34"/>
      <c r="F35" s="34"/>
      <c r="G35" s="34"/>
      <c r="H35" s="34"/>
      <c r="I35" s="34"/>
      <c r="J35" s="34"/>
      <c r="K35" s="34"/>
      <c r="L35" s="34"/>
    </row>
    <row r="36" spans="1:12" x14ac:dyDescent="0.25">
      <c r="A36" s="30">
        <v>30</v>
      </c>
      <c r="B36" s="35"/>
      <c r="C36" s="35"/>
      <c r="D36" s="35"/>
      <c r="E36" s="34"/>
      <c r="F36" s="34"/>
      <c r="G36" s="34"/>
      <c r="H36" s="34"/>
      <c r="I36" s="34"/>
      <c r="J36" s="34"/>
      <c r="K36" s="34"/>
      <c r="L36" s="34"/>
    </row>
    <row r="37" spans="1:12" x14ac:dyDescent="0.25">
      <c r="A37" s="30">
        <v>31</v>
      </c>
      <c r="B37" s="35"/>
      <c r="C37" s="35"/>
      <c r="D37" s="35"/>
      <c r="E37" s="34"/>
      <c r="F37" s="34"/>
      <c r="G37" s="34"/>
      <c r="H37" s="34"/>
      <c r="I37" s="34"/>
      <c r="J37" s="34"/>
      <c r="K37" s="34"/>
      <c r="L37" s="34"/>
    </row>
    <row r="38" spans="1:12" x14ac:dyDescent="0.25">
      <c r="A38" s="30">
        <v>32</v>
      </c>
      <c r="B38" s="35"/>
      <c r="C38" s="35"/>
      <c r="D38" s="35"/>
      <c r="E38" s="34"/>
      <c r="F38" s="34"/>
      <c r="G38" s="34"/>
      <c r="H38" s="34"/>
      <c r="I38" s="34"/>
      <c r="J38" s="34"/>
      <c r="K38" s="34"/>
      <c r="L38" s="34"/>
    </row>
    <row r="39" spans="1:12" x14ac:dyDescent="0.25">
      <c r="A39" s="30">
        <v>33</v>
      </c>
      <c r="B39" s="35"/>
      <c r="C39" s="35"/>
      <c r="D39" s="35"/>
      <c r="E39" s="34"/>
      <c r="F39" s="34"/>
      <c r="G39" s="34"/>
      <c r="H39" s="34"/>
      <c r="I39" s="34"/>
      <c r="J39" s="34"/>
      <c r="K39" s="34"/>
      <c r="L39" s="34"/>
    </row>
    <row r="40" spans="1:12" x14ac:dyDescent="0.25">
      <c r="A40" s="30">
        <v>34</v>
      </c>
      <c r="B40" s="35"/>
      <c r="C40" s="35"/>
      <c r="D40" s="35"/>
      <c r="E40" s="34"/>
      <c r="F40" s="34"/>
      <c r="G40" s="34"/>
      <c r="H40" s="34"/>
      <c r="I40" s="34"/>
      <c r="J40" s="34"/>
      <c r="K40" s="34"/>
      <c r="L40" s="34"/>
    </row>
    <row r="41" spans="1:12" x14ac:dyDescent="0.25">
      <c r="A41" s="30">
        <v>35</v>
      </c>
      <c r="B41" s="35"/>
      <c r="C41" s="35"/>
      <c r="D41" s="35"/>
      <c r="E41" s="34"/>
      <c r="F41" s="34"/>
      <c r="G41" s="34"/>
      <c r="H41" s="34"/>
      <c r="I41" s="34"/>
      <c r="J41" s="34"/>
      <c r="K41" s="34"/>
      <c r="L41" s="34"/>
    </row>
    <row r="42" spans="1:12" x14ac:dyDescent="0.25">
      <c r="A42" s="30">
        <v>36</v>
      </c>
      <c r="B42" s="35"/>
      <c r="C42" s="35"/>
      <c r="D42" s="35"/>
      <c r="E42" s="34"/>
      <c r="F42" s="34"/>
      <c r="G42" s="34"/>
      <c r="H42" s="34"/>
      <c r="I42" s="34"/>
      <c r="J42" s="34"/>
      <c r="K42" s="34"/>
      <c r="L42" s="34"/>
    </row>
    <row r="43" spans="1:12" x14ac:dyDescent="0.25">
      <c r="A43" s="30">
        <v>37</v>
      </c>
      <c r="B43" s="35"/>
      <c r="C43" s="35"/>
      <c r="D43" s="35"/>
      <c r="E43" s="34"/>
      <c r="F43" s="34"/>
      <c r="G43" s="34"/>
      <c r="H43" s="34"/>
      <c r="I43" s="34"/>
      <c r="J43" s="34"/>
      <c r="K43" s="34"/>
      <c r="L43" s="34"/>
    </row>
    <row r="44" spans="1:12" x14ac:dyDescent="0.25">
      <c r="A44" s="30">
        <v>38</v>
      </c>
      <c r="B44" s="35"/>
      <c r="C44" s="35"/>
      <c r="D44" s="35"/>
      <c r="E44" s="34"/>
      <c r="F44" s="34"/>
      <c r="G44" s="34"/>
      <c r="H44" s="34"/>
      <c r="I44" s="34"/>
      <c r="J44" s="34"/>
      <c r="K44" s="34"/>
      <c r="L44" s="34"/>
    </row>
    <row r="45" spans="1:12" x14ac:dyDescent="0.25">
      <c r="A45" s="30">
        <v>39</v>
      </c>
      <c r="B45" s="35"/>
      <c r="C45" s="35"/>
      <c r="D45" s="35"/>
      <c r="E45" s="34"/>
      <c r="F45" s="34"/>
      <c r="G45" s="34"/>
      <c r="H45" s="34"/>
      <c r="I45" s="34"/>
      <c r="J45" s="34"/>
      <c r="K45" s="34"/>
      <c r="L45" s="34"/>
    </row>
    <row r="46" spans="1:12" x14ac:dyDescent="0.25">
      <c r="A46" s="30">
        <v>40</v>
      </c>
      <c r="B46" s="35"/>
      <c r="C46" s="35"/>
      <c r="D46" s="35"/>
      <c r="E46" s="34"/>
      <c r="F46" s="34"/>
      <c r="G46" s="34"/>
      <c r="H46" s="34"/>
      <c r="I46" s="34"/>
      <c r="J46" s="34"/>
      <c r="K46" s="34"/>
      <c r="L46" s="34"/>
    </row>
    <row r="47" spans="1:12" x14ac:dyDescent="0.25">
      <c r="A47" s="30">
        <v>41</v>
      </c>
      <c r="B47" s="35"/>
      <c r="C47" s="35"/>
      <c r="D47" s="35"/>
      <c r="E47" s="34"/>
      <c r="F47" s="34"/>
      <c r="G47" s="34"/>
      <c r="H47" s="34"/>
      <c r="I47" s="34"/>
      <c r="J47" s="34"/>
      <c r="K47" s="34"/>
      <c r="L47" s="34"/>
    </row>
    <row r="48" spans="1:12" x14ac:dyDescent="0.25">
      <c r="A48" s="30">
        <v>42</v>
      </c>
      <c r="B48" s="35"/>
      <c r="C48" s="35"/>
      <c r="D48" s="35"/>
      <c r="E48" s="34"/>
      <c r="F48" s="34"/>
      <c r="G48" s="34"/>
      <c r="H48" s="34"/>
      <c r="I48" s="34"/>
      <c r="J48" s="34"/>
      <c r="K48" s="34"/>
      <c r="L48" s="34"/>
    </row>
    <row r="49" spans="1:12" x14ac:dyDescent="0.25">
      <c r="A49" s="30">
        <v>43</v>
      </c>
      <c r="B49" s="35"/>
      <c r="C49" s="35"/>
      <c r="D49" s="35"/>
      <c r="E49" s="34"/>
      <c r="F49" s="34"/>
      <c r="G49" s="34"/>
      <c r="H49" s="34"/>
      <c r="I49" s="34"/>
      <c r="J49" s="34"/>
      <c r="K49" s="34"/>
      <c r="L49" s="34"/>
    </row>
    <row r="50" spans="1:12" x14ac:dyDescent="0.25">
      <c r="A50" s="30">
        <v>44</v>
      </c>
      <c r="B50" s="35"/>
      <c r="C50" s="35"/>
      <c r="D50" s="35"/>
      <c r="E50" s="34"/>
      <c r="F50" s="34"/>
      <c r="G50" s="34"/>
      <c r="H50" s="34"/>
      <c r="I50" s="34"/>
      <c r="J50" s="34"/>
      <c r="K50" s="34"/>
      <c r="L50" s="34"/>
    </row>
    <row r="51" spans="1:12" x14ac:dyDescent="0.25">
      <c r="A51" s="30">
        <v>45</v>
      </c>
      <c r="B51" s="35"/>
      <c r="C51" s="35"/>
      <c r="D51" s="35"/>
      <c r="E51" s="34"/>
      <c r="F51" s="34"/>
      <c r="G51" s="34"/>
      <c r="H51" s="34"/>
      <c r="I51" s="34"/>
      <c r="J51" s="34"/>
      <c r="K51" s="34"/>
      <c r="L51" s="34"/>
    </row>
    <row r="52" spans="1:12" x14ac:dyDescent="0.25">
      <c r="A52" s="30">
        <v>46</v>
      </c>
      <c r="B52" s="35"/>
      <c r="C52" s="35"/>
      <c r="D52" s="35"/>
      <c r="E52" s="34"/>
      <c r="F52" s="34"/>
      <c r="G52" s="34"/>
      <c r="H52" s="34"/>
      <c r="I52" s="34"/>
      <c r="J52" s="34"/>
      <c r="K52" s="34"/>
      <c r="L52" s="34"/>
    </row>
    <row r="53" spans="1:12" x14ac:dyDescent="0.25">
      <c r="A53" s="30">
        <v>47</v>
      </c>
      <c r="B53" s="35"/>
      <c r="C53" s="35"/>
      <c r="D53" s="35"/>
      <c r="E53" s="34"/>
      <c r="F53" s="34"/>
      <c r="G53" s="34"/>
      <c r="H53" s="34"/>
      <c r="I53" s="34"/>
      <c r="J53" s="34"/>
      <c r="K53" s="34"/>
      <c r="L53" s="34"/>
    </row>
    <row r="54" spans="1:12" x14ac:dyDescent="0.25">
      <c r="A54" s="30">
        <v>48</v>
      </c>
      <c r="B54" s="35"/>
      <c r="C54" s="35"/>
      <c r="D54" s="35"/>
      <c r="E54" s="34"/>
      <c r="F54" s="34"/>
      <c r="G54" s="34"/>
      <c r="H54" s="34"/>
      <c r="I54" s="34"/>
      <c r="J54" s="34"/>
      <c r="K54" s="34"/>
      <c r="L54" s="34"/>
    </row>
    <row r="55" spans="1:12" x14ac:dyDescent="0.25">
      <c r="A55" s="30">
        <v>49</v>
      </c>
      <c r="B55" s="35"/>
      <c r="C55" s="35"/>
      <c r="D55" s="35"/>
      <c r="E55" s="34"/>
      <c r="F55" s="34"/>
      <c r="G55" s="34"/>
      <c r="H55" s="34"/>
      <c r="I55" s="34"/>
      <c r="J55" s="34"/>
      <c r="K55" s="34"/>
      <c r="L55" s="34"/>
    </row>
    <row r="56" spans="1:12" x14ac:dyDescent="0.25">
      <c r="A56" s="30">
        <v>50</v>
      </c>
      <c r="B56" s="35"/>
      <c r="C56" s="35"/>
      <c r="D56" s="35"/>
      <c r="E56" s="34"/>
      <c r="F56" s="34"/>
      <c r="G56" s="34"/>
      <c r="H56" s="34"/>
      <c r="I56" s="34"/>
      <c r="J56" s="34"/>
      <c r="K56" s="34"/>
      <c r="L56" s="34"/>
    </row>
  </sheetData>
  <autoFilter ref="B6:L56" xr:uid="{00000000-0009-0000-0000-000002000000}"/>
  <conditionalFormatting sqref="G7:G56">
    <cfRule type="cellIs" dxfId="2" priority="1" operator="equal">
      <formula>"Alta"</formula>
    </cfRule>
  </conditionalFormatting>
  <conditionalFormatting sqref="G7:G56">
    <cfRule type="cellIs" dxfId="1" priority="2" operator="equal">
      <formula>"Media"</formula>
    </cfRule>
  </conditionalFormatting>
  <conditionalFormatting sqref="G7:G56">
    <cfRule type="cellIs" dxfId="0" priority="3" operator="equal">
      <formula>"Baja"</formula>
    </cfRule>
  </conditionalFormatting>
  <dataValidations count="4">
    <dataValidation type="list" allowBlank="1" sqref="G7:G56" xr:uid="{00000000-0002-0000-0200-000000000000}">
      <formula1>"Alta,Media,Baja"</formula1>
    </dataValidation>
    <dataValidation type="list" allowBlank="1" sqref="L7:L56" xr:uid="{00000000-0002-0000-0200-000001000000}">
      <formula1>"Por hacer,En Proceso,Terminada,Bloqueada,En Validación"</formula1>
    </dataValidation>
    <dataValidation type="list" allowBlank="1" sqref="B7:B56" xr:uid="{00000000-0002-0000-0200-000002000000}">
      <formula1>"SEO,DEV,Contenidos,LB"</formula1>
    </dataValidation>
    <dataValidation type="list" allowBlank="1" sqref="C7:C56" xr:uid="{00000000-0002-0000-0200-000003000000}">
      <formula1>"Fase 1,Ongoing"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Fase 1</vt:lpstr>
      <vt:lpstr>Ongoing Mensual</vt:lpstr>
      <vt:lpstr>Backlog Tareas - Seguimiento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Carmen Bigseo</cp:lastModifiedBy>
  <dcterms:created xsi:type="dcterms:W3CDTF">2022-10-04T11:46:50Z</dcterms:created>
  <dcterms:modified xsi:type="dcterms:W3CDTF">2022-10-04T11:46:50Z</dcterms:modified>
</cp:coreProperties>
</file>